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33fd63f1e4a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79a53997f274cb6"/>
    <x:sheet xmlns:r="http://schemas.openxmlformats.org/officeDocument/2006/relationships" name="Project Bank" sheetId="2" r:id="R0c0638baeaf249ea"/>
    <x:sheet xmlns:r="http://schemas.openxmlformats.org/officeDocument/2006/relationships" name="Shortlist" sheetId="3" r:id="R50594441ad984708"/>
    <x:sheet xmlns:r="http://schemas.openxmlformats.org/officeDocument/2006/relationships" name="Meta-Jarvis Stack" sheetId="4" r:id="R75b4d370a3ba422f"/>
    <x:sheet xmlns:r="http://schemas.openxmlformats.org/officeDocument/2006/relationships" name="Scoring" sheetId="5" r:id="R1957a4f1a644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#,##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20"/>
      <x:color rgb="FFFFFFFF"/>
      <x:name val="Carlito"/>
    </x:font>
    <x:font>
      <x:i/>
      <x:sz val="11"/>
      <x:color rgb="FFD1D5DB"/>
      <x:name val="Carlito"/>
    </x:font>
    <x:font>
      <x:b/>
      <x:sz val="18"/>
      <x:color rgb="FF1E3A8A"/>
      <x:name val="Carlito"/>
    </x:font>
    <x:font>
      <x:b/>
      <x:sz val="17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D4A017"/>
      </x:patternFill>
    </x:fill>
    <x:fill>
      <x:patternFill patternType="solid">
        <x:fgColor rgb="FFE5E7EB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afdbaa32c423f" /><Relationship Type="http://schemas.openxmlformats.org/officeDocument/2006/relationships/theme" Target="/xl/theme/theme1.xml" Id="R777bcaede4884943" /><Relationship Type="http://schemas.openxmlformats.org/officeDocument/2006/relationships/sharedStrings" Target="/xl/sharedStrings.xml" Id="Rfabdd83851a64e27" /><Relationship Type="http://schemas.openxmlformats.org/officeDocument/2006/relationships/worksheet" Target="/xl/worksheets/sheet1.xml" Id="R179a53997f274cb6" /><Relationship Type="http://schemas.openxmlformats.org/officeDocument/2006/relationships/worksheet" Target="/xl/worksheets/sheet2.xml" Id="R0c0638baeaf249ea" /><Relationship Type="http://schemas.openxmlformats.org/officeDocument/2006/relationships/worksheet" Target="/xl/worksheets/sheet3.xml" Id="R50594441ad984708" /><Relationship Type="http://schemas.openxmlformats.org/officeDocument/2006/relationships/worksheet" Target="/xl/worksheets/sheet4.xml" Id="R75b4d370a3ba422f" /><Relationship Type="http://schemas.openxmlformats.org/officeDocument/2006/relationships/worksheet" Target="/xl/worksheets/sheet5.xml" Id="R1957a4f1a6444a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c6903483de4c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Répartition par tier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Nombre</c:v>
          </c:tx>
          <c:cat>
            <c:strRef>
              <c:f>'Dashboard'!$A$9:$A$13</c:f>
              <c:strCache>
                <c:ptCount val="0"/>
              </c:strCache>
            </c:strRef>
          </c:cat>
          <c:val>
            <c:numRef>
              <c:f>'Dashboard'!$B$9:$B$13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c6903483de4c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arvisProjectBank" displayName="JarvisProjectBank" ref="A1:AA51" headerRowCount="1" totalsRowCount="0" totalsRowShown="0">
  <x:tableColumns count="27">
    <x:tableColumn id="1" name="Rank"/>
    <x:tableColumn id="2" name="Project"/>
    <x:tableColumn id="3" name="Repository"/>
    <x:tableColumn id="4" name="Layer"/>
    <x:tableColumn id="5" name="Category"/>
    <x:tableColumn id="6" name="OSS status"/>
    <x:tableColumn id="7" name="License"/>
    <x:tableColumn id="8" name="Stars snapshot"/>
    <x:tableColumn id="9" name="Stars verified?"/>
    <x:tableColumn id="10" name="Activity"/>
    <x:tableColumn id="11" name="Evidence date"/>
    <x:tableColumn id="12" name="Architecture / role"/>
    <x:tableColumn id="13" name="Hardware"/>
    <x:tableColumn id="14" name="Voice"/>
    <x:tableColumn id="15" name="Memory"/>
    <x:tableColumn id="16" name="Tools/MCP"/>
    <x:tableColumn id="17" name="Computer use"/>
    <x:tableColumn id="18" name="Vision"/>
    <x:tableColumn id="19" name="Autonomy"/>
    <x:tableColumn id="20" name="Multi-agent"/>
    <x:tableColumn id="21" name="Local/privacy"/>
    <x:tableColumn id="22" name="IoT/physical"/>
    <x:tableColumn id="23" name="Extensible"/>
    <x:tableColumn id="24" name="Jarvis Score /100"/>
    <x:tableColumn id="25" name="Tier"/>
    <x:tableColumn id="26" name="Why relevant"/>
    <x:tableColumn id="27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arvisShortlist" displayName="JarvisShortlist" ref="A3:G18" headerRowCount="1" totalsRowCount="0" totalsRowShown="0">
  <x:tableColumns count="7">
    <x:tableColumn id="1" name="Priority"/>
    <x:tableColumn id="2" name="Project"/>
    <x:tableColumn id="3" name="Score"/>
    <x:tableColumn id="4" name="Type"/>
    <x:tableColumn id="5" name="Action recommandée"/>
    <x:tableColumn id="6" name="Risque principal"/>
    <x:tableColumn id="7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aJarvisStack" displayName="MetaJarvisStack" ref="A3:F15" headerRowCount="1" totalsRowCount="0" totalsRowShown="0">
  <x:tableColumns count="6">
    <x:tableColumn id="1" name="Layer"/>
    <x:tableColumn id="2" name="Primary candidate"/>
    <x:tableColumn id="3" name="Alternatives"/>
    <x:tableColumn id="4" name="Fonction"/>
    <x:tableColumn id="5" name="Pourquoi"/>
    <x:tableColumn id="6" name="Décision v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c38edbaf604a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032177e8324a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d6862f700e4f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3bf51e4ae54ce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26" hidden="0" customWidth="1"/>
    <x:col min="4" max="4" width="30" hidden="0" customWidth="1"/>
    <x:col min="5" max="5" width="18" hidden="0" customWidth="1"/>
    <x:col min="6" max="6" width="12" hidden="0" customWidth="1"/>
    <x:col min="7" max="7" width="20" hidden="0" customWidth="1"/>
    <x:col min="8" max="8" width="18" hidden="0" customWidth="1"/>
  </x:cols>
  <x:sheetData>
    <x:row r="1" ht="38" customHeight="1">
      <x:c r="A1" s="41" t="str">
        <x:v>JARVIS OPEN SOURCE BANK v1</x:v>
      </x:c>
      <x:c r="B1" s="41"/>
      <x:c r="C1" s="41"/>
      <x:c r="D1" s="41"/>
      <x:c r="E1" s="41"/>
      <x:c r="F1" s="41"/>
      <x:c r="G1" s="41"/>
      <x:c r="H1" s="41"/>
    </x:row>
    <x:row r="2" ht="24" customHeight="1">
      <x:c r="A2" s="45" t="str">
        <x:v>Snapshot mondial — 11 août 2026 | 50 projets : Cores + organes</x:v>
      </x:c>
      <x:c r="B2" s="45"/>
      <x:c r="C2" s="45"/>
      <x:c r="D2" s="45"/>
      <x:c r="E2" s="45"/>
      <x:c r="F2" s="45"/>
      <x:c r="G2" s="45"/>
      <x:c r="H2" s="45"/>
    </x:row>
    <x:row r="4">
      <x:c r="A4" s="50" t="str">
        <x:v>Projets</x:v>
      </x:c>
      <x:c r="B4" s="50" t="str"/>
      <x:c r="C4" s="50" t="str">
        <x:v>Cores</x:v>
      </x:c>
      <x:c r="D4" s="50" t="str"/>
      <x:c r="E4" s="50" t="str">
        <x:v>Organes</x:v>
      </x:c>
      <x:c r="F4" s="50" t="str"/>
      <x:c r="G4" s="50" t="str">
        <x:v>Stars vérifiées</x:v>
      </x:c>
      <x:c r="H4" s="50" t="str"/>
    </x:row>
    <x:row r="5" ht="32" customHeight="1">
      <x:c r="A5" s="56" t="n">
        <x:f>COUNTA('Project Bank'!B2:B51)</x:f>
        <x:v>50</x:v>
      </x:c>
      <x:c r="C5" s="56" t="n">
        <x:f>COUNTIF('Project Bank'!D2:D51,"CORE")</x:f>
        <x:v>25</x:v>
      </x:c>
      <x:c r="E5" s="56" t="n">
        <x:f>COUNTIF('Project Bank'!D2:D51,"ORGAN")</x:f>
        <x:v>25</x:v>
      </x:c>
      <x:c r="G5" s="56" t="n">
        <x:f>COUNTIF('Project Bank'!I2:I51,"Oui")</x:f>
        <x:v>34</x:v>
      </x:c>
    </x:row>
    <x:row r="8">
      <x:c r="A8" s="27" t="str">
        <x:v>Tier</x:v>
      </x:c>
      <x:c r="B8" s="27" t="str">
        <x:v>Nombre</x:v>
      </x:c>
    </x:row>
    <x:row r="9">
      <x:c r="A9" t="str">
        <x:v>CORE A+</x:v>
      </x:c>
      <x:c r="B9" t="n">
        <x:f>COUNTIF('Project Bank'!Y2:Y51,A9)</x:f>
        <x:v>3</x:v>
      </x:c>
    </x:row>
    <x:row r="10">
      <x:c r="A10" t="str">
        <x:v>CORE A</x:v>
      </x:c>
      <x:c r="B10" t="n">
        <x:f>COUNTIF('Project Bank'!Y2:Y51,A10)</x:f>
        <x:v>10</x:v>
      </x:c>
    </x:row>
    <x:row r="11">
      <x:c r="A11" t="str">
        <x:v>CORE B</x:v>
      </x:c>
      <x:c r="B11" t="n">
        <x:f>COUNTIF('Project Bank'!Y2:Y51,A11)</x:f>
        <x:v>10</x:v>
      </x:c>
    </x:row>
    <x:row r="12">
      <x:c r="A12" t="str">
        <x:v>CORE C</x:v>
      </x:c>
      <x:c r="B12" t="n">
        <x:f>COUNTIF('Project Bank'!Y2:Y51,A12)</x:f>
        <x:v>2</x:v>
      </x:c>
    </x:row>
    <x:row r="13">
      <x:c r="A13" t="str">
        <x:v>JARVIS ORGAN</x:v>
      </x:c>
      <x:c r="B13" t="n">
        <x:f>COUNTIF('Project Bank'!Y2:Y51,A13)</x:f>
        <x:v>25</x:v>
      </x:c>
    </x:row>
    <x:row r="16">
      <x:c r="A16" s="35" t="str">
        <x:v>Top CORE</x:v>
      </x:c>
      <x:c r="B16" s="35" t="str">
        <x:v>Score</x:v>
      </x:c>
      <x:c r="C16" s="35" t="str">
        <x:v>Rôle dominant</x:v>
      </x:c>
      <x:c r="D16" s="35" t="str">
        <x:v>Repo</x:v>
      </x:c>
    </x:row>
    <x:row r="17">
      <x:c r="A17" s="12" t="str">
        <x:v>Row-Bot</x:v>
      </x:c>
      <x:c r="B17" s="62" t="n">
        <x:v>95.5</x:v>
      </x:c>
      <x:c r="C17" s="12" t="str">
        <x:v>Local-first personal AI</x:v>
      </x:c>
      <x:c r="D17" s="12" t="str">
        <x:v>siddsachar/row-bot</x:v>
      </x:c>
    </x:row>
    <x:row r="18">
      <x:c r="A18" s="12" t="str">
        <x:v>Jarvis AI (amanimran786)</x:v>
      </x:c>
      <x:c r="B18" s="62" t="n">
        <x:v>88</x:v>
      </x:c>
      <x:c r="C18" s="12" t="str">
        <x:v>macOS personal agent</x:v>
      </x:c>
      <x:c r="D18" s="12" t="str">
        <x:v>amanimran786/jarvis-ai</x:v>
      </x:c>
    </x:row>
    <x:row r="19">
      <x:c r="A19" s="12" t="str">
        <x:v>OpenClaw</x:v>
      </x:c>
      <x:c r="B19" s="62" t="n">
        <x:v>88</x:v>
      </x:c>
      <x:c r="C19" s="12" t="str">
        <x:v>Personal AI / Agent OS</x:v>
      </x:c>
      <x:c r="D19" s="12" t="str">
        <x:v>openclaw/openclaw</x:v>
      </x:c>
    </x:row>
    <x:row r="20">
      <x:c r="A20" s="12" t="str">
        <x:v>Hermes Agent</x:v>
      </x:c>
      <x:c r="B20" s="62" t="n">
        <x:v>84</x:v>
      </x:c>
      <x:c r="C20" s="12" t="str">
        <x:v>Self-improving personal agent</x:v>
      </x:c>
      <x:c r="D20" s="12" t="str">
        <x:v>NousResearch/hermes-agent</x:v>
      </x:c>
    </x:row>
    <x:row r="21">
      <x:c r="A21" s="12" t="str">
        <x:v>Agent Zero</x:v>
      </x:c>
      <x:c r="B21" s="62" t="n">
        <x:v>82</x:v>
      </x:c>
      <x:c r="C21" s="12" t="str">
        <x:v>Autonomous Agent OS</x:v>
      </x:c>
      <x:c r="D21" s="12" t="str">
        <x:v>agent0ai/agent-zero</x:v>
      </x:c>
    </x:row>
    <x:row r="22">
      <x:c r="A22" s="12" t="str">
        <x:v>Jarvis (isair)</x:v>
      </x:c>
      <x:c r="B22" s="62" t="n">
        <x:v>80.5</x:v>
      </x:c>
      <x:c r="C22" s="12" t="str">
        <x:v>Voice-first personal AI</x:v>
      </x:c>
      <x:c r="D22" s="12" t="str">
        <x:v>isair/jarvis</x:v>
      </x:c>
    </x:row>
    <x:row r="23">
      <x:c r="A23" s="12" t="str">
        <x:v>OpenJarvis</x:v>
      </x:c>
      <x:c r="B23" s="62" t="n">
        <x:v>79.5</x:v>
      </x:c>
      <x:c r="C23" s="12" t="str">
        <x:v>Personal AI framework</x:v>
      </x:c>
      <x:c r="D23" s="12" t="str">
        <x:v>open-jarvis/OpenJarvis</x:v>
      </x:c>
    </x:row>
    <x:row r="24">
      <x:c r="A24" s="12" t="str">
        <x:v>PyGPT</x:v>
      </x:c>
      <x:c r="B24" s="62" t="n">
        <x:v>79.5</x:v>
      </x:c>
      <x:c r="C24" s="12" t="str">
        <x:v>Desktop AI assistant</x:v>
      </x:c>
      <x:c r="D24" s="12" t="str">
        <x:v>szczyglis-dev/py-gpt</x:v>
      </x:c>
    </x:row>
    <x:row r="25">
      <x:c r="A25" s="12" t="str">
        <x:v>Jarvis (rezaulhreza)</x:v>
      </x:c>
      <x:c r="B25" s="62" t="n">
        <x:v>79</x:v>
      </x:c>
      <x:c r="C25" s="12" t="str">
        <x:v>Local Ollama assistant</x:v>
      </x:c>
      <x:c r="D25" s="12" t="str">
        <x:v>rezaulhreza/jarvis</x:v>
      </x:c>
    </x:row>
    <x:row r="26">
      <x:c r="A26" s="12" t="str">
        <x:v>D.A.W.N.</x:v>
      </x:c>
      <x:c r="B26" s="62" t="n">
        <x:v>78</x:v>
      </x:c>
      <x:c r="C26" s="12" t="str">
        <x:v>Embedded JARVIS / smart home</x:v>
      </x:c>
      <x:c r="D26" s="12" t="str">
        <x:v>The-OASIS-Project/dawn</x:v>
      </x:c>
    </x:row>
    <x:row r="27">
      <x:c r="A27" s="12" t="str">
        <x:v>LobeHub</x:v>
      </x:c>
      <x:c r="B27" s="62" t="n">
        <x:v>77</x:v>
      </x:c>
      <x:c r="C27" s="12" t="str">
        <x:v>Agent workspace / personal AI</x:v>
      </x:c>
      <x:c r="D27" s="12" t="str">
        <x:v>lobehub/lobehub</x:v>
      </x:c>
    </x:row>
    <x:row r="28">
      <x:c r="A28" s="12" t="str">
        <x:v>Leon</x:v>
      </x:c>
      <x:c r="B28" s="62" t="n">
        <x:v>75</x:v>
      </x:c>
      <x:c r="C28" s="12" t="str">
        <x:v>Personal assistant</x:v>
      </x:c>
      <x:c r="D28" s="12" t="str">
        <x:v>leon-ai/leon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6c38edbaf604a9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0" hidden="0" customWidth="1"/>
    <x:col min="5" max="5" width="26" hidden="0" customWidth="1"/>
    <x:col min="6" max="6" width="22" hidden="0" customWidth="1"/>
    <x:col min="7" max="7" width="29" hidden="0" customWidth="1"/>
    <x:col min="8" max="8" width="14" hidden="0" customWidth="1"/>
    <x:col min="9" max="9" width="14" hidden="0" customWidth="1"/>
    <x:col min="10" max="10" width="18" hidden="0" customWidth="1"/>
    <x:col min="11" max="11" width="13" hidden="0" customWidth="1"/>
    <x:col min="12" max="12" width="42" hidden="0" customWidth="1"/>
    <x:col min="13" max="13" width="26" hidden="0" customWidth="1"/>
    <x:col min="14" max="14" width="9" hidden="0" customWidth="1"/>
    <x:col min="15" max="15" width="9" hidden="0" customWidth="1"/>
    <x:col min="16" max="16" width="10" hidden="0" customWidth="1"/>
    <x:col min="17" max="17" width="12" hidden="0" customWidth="1"/>
    <x:col min="18" max="18" width="9" hidden="0" customWidth="1"/>
    <x:col min="19" max="19" width="10" hidden="0" customWidth="1"/>
    <x:col min="20" max="20" width="11" hidden="0" customWidth="1"/>
    <x:col min="21" max="21" width="12" hidden="0" customWidth="1"/>
    <x:col min="22" max="22" width="11" hidden="0" customWidth="1"/>
    <x:col min="23" max="23" width="10" hidden="0" customWidth="1"/>
    <x:col min="24" max="24" width="14" hidden="0" customWidth="1"/>
    <x:col min="25" max="25" width="15" hidden="0" customWidth="1"/>
    <x:col min="26" max="26" width="48" hidden="0" customWidth="1"/>
    <x:col min="27" max="27" width="44" hidden="0" customWidth="1"/>
  </x:cols>
  <x:sheetData>
    <x:row r="1" ht="32" customHeight="1">
      <x:c r="A1" s="6" t="str">
        <x:v>Rank</x:v>
      </x:c>
      <x:c r="B1" s="6" t="str">
        <x:v>Project</x:v>
      </x:c>
      <x:c r="C1" s="6" t="str">
        <x:v>Repository</x:v>
      </x:c>
      <x:c r="D1" s="6" t="str">
        <x:v>Layer</x:v>
      </x:c>
      <x:c r="E1" s="6" t="str">
        <x:v>Category</x:v>
      </x:c>
      <x:c r="F1" s="6" t="str">
        <x:v>OSS status</x:v>
      </x:c>
      <x:c r="G1" s="6" t="str">
        <x:v>License</x:v>
      </x:c>
      <x:c r="H1" s="6" t="str">
        <x:v>Stars snapshot</x:v>
      </x:c>
      <x:c r="I1" s="6" t="str">
        <x:v>Stars verified?</x:v>
      </x:c>
      <x:c r="J1" s="6" t="str">
        <x:v>Activity</x:v>
      </x:c>
      <x:c r="K1" s="6" t="str">
        <x:v>Evidence date</x:v>
      </x:c>
      <x:c r="L1" s="6" t="str">
        <x:v>Architecture / role</x:v>
      </x:c>
      <x:c r="M1" s="6" t="str">
        <x:v>Hardware</x:v>
      </x:c>
      <x:c r="N1" s="6" t="str">
        <x:v>Voice</x:v>
      </x:c>
      <x:c r="O1" s="6" t="str">
        <x:v>Memory</x:v>
      </x:c>
      <x:c r="P1" s="6" t="str">
        <x:v>Tools/MCP</x:v>
      </x:c>
      <x:c r="Q1" s="6" t="str">
        <x:v>Computer use</x:v>
      </x:c>
      <x:c r="R1" s="6" t="str">
        <x:v>Vision</x:v>
      </x:c>
      <x:c r="S1" s="6" t="str">
        <x:v>Autonomy</x:v>
      </x:c>
      <x:c r="T1" s="6" t="str">
        <x:v>Multi-agent</x:v>
      </x:c>
      <x:c r="U1" s="6" t="str">
        <x:v>Local/privacy</x:v>
      </x:c>
      <x:c r="V1" s="6" t="str">
        <x:v>IoT/physical</x:v>
      </x:c>
      <x:c r="W1" s="6" t="str">
        <x:v>Extensible</x:v>
      </x:c>
      <x:c r="X1" s="6" t="str">
        <x:v>Jarvis Score /100</x:v>
      </x:c>
      <x:c r="Y1" s="6" t="str">
        <x:v>Tier</x:v>
      </x:c>
      <x:c r="Z1" s="6" t="str">
        <x:v>Why relevant</x:v>
      </x:c>
      <x:c r="AA1" s="6" t="str">
        <x:v>Source URL</x:v>
      </x:c>
    </x:row>
    <x:row r="2">
      <x:c r="A2" s="14" t="n">
        <x:v>1</x:v>
      </x:c>
      <x:c r="B2" s="14" t="str">
        <x:v>Row-Bot</x:v>
      </x:c>
      <x:c r="C2" s="14" t="str">
        <x:v>siddsachar/row-bot</x:v>
      </x:c>
      <x:c r="D2" s="14" t="str">
        <x:v>CORE</x:v>
      </x:c>
      <x:c r="E2" s="14" t="str">
        <x:v>Local-first personal AI</x:v>
      </x:c>
      <x:c r="F2" s="14" t="str">
        <x:v>OSS</x:v>
      </x:c>
      <x:c r="G2" s="14" t="str">
        <x:v>Apache-2.0</x:v>
      </x:c>
      <x:c r="H2" s="20" t="n">
        <x:v>1400</x:v>
      </x:c>
      <x:c r="I2" s="14" t="str">
        <x:v>Oui</x:v>
      </x:c>
      <x:c r="J2" s="14" t="str">
        <x:v>Active</x:v>
      </x:c>
      <x:c r="K2" s="14" t="str">
        <x:v>2026-08-11</x:v>
      </x:c>
      <x:c r="L2" s="14" t="str">
        <x:v>Knowledge graph, voix, vision, shell, navigateur, tâches planifiées, sous-agents</x:v>
      </x:c>
      <x:c r="M2" s="14" t="str">
        <x:v>Desktop</x:v>
      </x:c>
      <x:c r="N2" s="16" t="n">
        <x:v>1</x:v>
      </x:c>
      <x:c r="O2" s="16" t="n">
        <x:v>1</x:v>
      </x:c>
      <x:c r="P2" s="16" t="n">
        <x:v>1</x:v>
      </x:c>
      <x:c r="Q2" s="16" t="n">
        <x:v>1</x:v>
      </x:c>
      <x:c r="R2" s="16" t="n">
        <x:v>1</x:v>
      </x:c>
      <x:c r="S2" s="16" t="n">
        <x:v>1</x:v>
      </x:c>
      <x:c r="T2" s="16" t="n">
        <x:v>1</x:v>
      </x:c>
      <x:c r="U2" s="16" t="n">
        <x:v>1</x:v>
      </x:c>
      <x:c r="V2" s="16" t="n">
        <x:v>0.25</x:v>
      </x:c>
      <x:c r="W2" s="16" t="n">
        <x:v>1</x:v>
      </x:c>
      <x:c r="X2" s="18" t="n">
        <x:f>ROUND(N2*12+O2*14+P2*14+Q2*12+R2*8+S2*12+T2*8+U2*8+V2*6+W2*6,1)</x:f>
        <x:v>95.5</x:v>
      </x:c>
      <x:c r="Y2" s="14" t="str">
        <x:f>IF(D2="CORE",IF(X2&gt;=85,"CORE A+",IF(X2&gt;=75,"CORE A",IF(X2&gt;=65,"CORE B","CORE C"))),"JARVIS ORGAN")</x:f>
        <x:v>CORE A+</x:v>
      </x:c>
      <x:c r="Z2" s="14" t="str">
        <x:v>Un des ensembles les plus proches de JARVIS sur poste personnel.</x:v>
      </x:c>
      <x:c r="AA2" s="14" t="str">
        <x:v>https://github.com/siddsachar/row-bot</x:v>
      </x:c>
    </x:row>
    <x:row r="3">
      <x:c r="A3" s="14" t="n">
        <x:v>2</x:v>
      </x:c>
      <x:c r="B3" s="14" t="str">
        <x:v>Jarvis AI (amanimran786)</x:v>
      </x:c>
      <x:c r="C3" s="14" t="str">
        <x:v>amanimran786/jarvis-ai</x:v>
      </x:c>
      <x:c r="D3" s="14" t="str">
        <x:v>CORE</x:v>
      </x:c>
      <x:c r="E3" s="14" t="str">
        <x:v>macOS personal agent</x:v>
      </x:c>
      <x:c r="F3" s="14" t="str">
        <x:v>À vérifier</x:v>
      </x:c>
      <x:c r="G3" s="14" t="str">
        <x:v>N/V</x:v>
      </x:c>
      <x:c r="H3" s="20"/>
      <x:c r="I3" s="14" t="str">
        <x:v>Non</x:v>
      </x:c>
      <x:c r="J3" s="14" t="str">
        <x:v>À vérifier</x:v>
      </x:c>
      <x:c r="K3" s="14" t="str">
        <x:v>2026-08-11</x:v>
      </x:c>
      <x:c r="L3" s="14" t="str">
        <x:v>Voix, vision, mémoire, routing modèles, équipe d'agents et sandbox</x:v>
      </x:c>
      <x:c r="M3" s="14" t="str">
        <x:v>macOS</x:v>
      </x:c>
      <x:c r="N3" s="16" t="n">
        <x:v>1</x:v>
      </x:c>
      <x:c r="O3" s="16" t="n">
        <x:v>1</x:v>
      </x:c>
      <x:c r="P3" s="16" t="n">
        <x:v>1</x:v>
      </x:c>
      <x:c r="Q3" s="16" t="n">
        <x:v>0.75</x:v>
      </x:c>
      <x:c r="R3" s="16" t="n">
        <x:v>1</x:v>
      </x:c>
      <x:c r="S3" s="16" t="n">
        <x:v>0.75</x:v>
      </x:c>
      <x:c r="T3" s="16" t="n">
        <x:v>1</x:v>
      </x:c>
      <x:c r="U3" s="16" t="n">
        <x:v>1</x:v>
      </x:c>
      <x:c r="V3" s="16" t="n">
        <x:v>0</x:v>
      </x:c>
      <x:c r="W3" s="16" t="n">
        <x:v>1</x:v>
      </x:c>
      <x:c r="X3" s="18" t="n">
        <x:f>ROUND(N3*12+O3*14+P3*14+Q3*12+R3*8+S3*12+T3*8+U3*8+V3*6+W3*6,1)</x:f>
        <x:v>88</x:v>
      </x:c>
      <x:c r="Y3" s="14" t="str">
        <x:f>IF(D3="CORE",IF(X3&gt;=85,"CORE A+",IF(X3&gt;=75,"CORE A",IF(X3&gt;=65,"CORE B","CORE C"))),"JARVIS ORGAN")</x:f>
        <x:v>CORE A+</x:v>
      </x:c>
      <x:c r="Z3" s="14" t="str">
        <x:v>Candidat riche à auditer avant réutilisation.</x:v>
      </x:c>
      <x:c r="AA3" s="14" t="str">
        <x:v>https://github.com/amanimran786/jarvis-ai</x:v>
      </x:c>
    </x:row>
    <x:row r="4">
      <x:c r="A4" s="14" t="n">
        <x:v>3</x:v>
      </x:c>
      <x:c r="B4" s="14" t="str">
        <x:v>OpenClaw</x:v>
      </x:c>
      <x:c r="C4" s="14" t="str">
        <x:v>openclaw/openclaw</x:v>
      </x:c>
      <x:c r="D4" s="14" t="str">
        <x:v>CORE</x:v>
      </x:c>
      <x:c r="E4" s="14" t="str">
        <x:v>Personal AI / Agent OS</x:v>
      </x:c>
      <x:c r="F4" s="14" t="str">
        <x:v>Licence non-standard</x:v>
      </x:c>
      <x:c r="G4" s="14" t="str">
        <x:v>Other / NOASSERTION</x:v>
      </x:c>
      <x:c r="H4" s="20" t="n">
        <x:v>385922</x:v>
      </x:c>
      <x:c r="I4" s="14" t="str">
        <x:v>Oui</x:v>
      </x:c>
      <x:c r="J4" s="14" t="str">
        <x:v>Très active</x:v>
      </x:c>
      <x:c r="K4" s="14" t="str">
        <x:v>2026-08-11</x:v>
      </x:c>
      <x:c r="L4" s="14" t="str">
        <x:v>Assistant personnel cross-platform, gateway omnicanal, skills/outils</x:v>
      </x:c>
      <x:c r="M4" s="14" t="str">
        <x:v>Desktop / serveur</x:v>
      </x:c>
      <x:c r="N4" s="16" t="n">
        <x:v>1</x:v>
      </x:c>
      <x:c r="O4" s="16" t="n">
        <x:v>1</x:v>
      </x:c>
      <x:c r="P4" s="16" t="n">
        <x:v>1</x:v>
      </x:c>
      <x:c r="Q4" s="16" t="n">
        <x:v>0.75</x:v>
      </x:c>
      <x:c r="R4" s="16" t="n">
        <x:v>0.5</x:v>
      </x:c>
      <x:c r="S4" s="16" t="n">
        <x:v>1</x:v>
      </x:c>
      <x:c r="T4" s="16" t="n">
        <x:v>0.75</x:v>
      </x:c>
      <x:c r="U4" s="16" t="n">
        <x:v>1</x:v>
      </x:c>
      <x:c r="V4" s="16" t="n">
        <x:v>0.5</x:v>
      </x:c>
      <x:c r="W4" s="16" t="n">
        <x:v>1</x:v>
      </x:c>
      <x:c r="X4" s="18" t="n">
        <x:f>ROUND(N4*12+O4*14+P4*14+Q4*12+R4*8+S4*12+T4*8+U4*8+V4*6+W4*6,1)</x:f>
        <x:v>88</x:v>
      </x:c>
      <x:c r="Y4" s="14" t="str">
        <x:f>IF(D4="CORE",IF(X4&gt;=85,"CORE A+",IF(X4&gt;=75,"CORE A",IF(X4&gt;=65,"CORE B","CORE C"))),"JARVIS ORGAN")</x:f>
        <x:v>CORE A+</x:v>
      </x:c>
      <x:c r="Z4" s="14" t="str">
        <x:v>Présence personnelle omnicanale et persistante.</x:v>
      </x:c>
      <x:c r="AA4" s="14" t="str">
        <x:v>https://github.com/openclaw/openclaw</x:v>
      </x:c>
    </x:row>
    <x:row r="5">
      <x:c r="A5" s="14" t="n">
        <x:v>4</x:v>
      </x:c>
      <x:c r="B5" s="14" t="str">
        <x:v>Hermes Agent</x:v>
      </x:c>
      <x:c r="C5" s="14" t="str">
        <x:v>NousResearch/hermes-agent</x:v>
      </x:c>
      <x:c r="D5" s="14" t="str">
        <x:v>CORE</x:v>
      </x:c>
      <x:c r="E5" s="14" t="str">
        <x:v>Self-improving personal agent</x:v>
      </x:c>
      <x:c r="F5" s="14" t="str">
        <x:v>OSS</x:v>
      </x:c>
      <x:c r="G5" s="14" t="str">
        <x:v>MIT</x:v>
      </x:c>
      <x:c r="H5" s="20" t="n">
        <x:v>228855</x:v>
      </x:c>
      <x:c r="I5" s="14" t="str">
        <x:v>Oui</x:v>
      </x:c>
      <x:c r="J5" s="14" t="str">
        <x:v>Très active</x:v>
      </x:c>
      <x:c r="K5" s="14" t="str">
        <x:v>2026-08-11</x:v>
      </x:c>
      <x:c r="L5" s="14" t="str">
        <x:v>Mémoire, skills auto-améliorants, cron, sous-agents, terminal/browser, messaging</x:v>
      </x:c>
      <x:c r="M5" s="14" t="str">
        <x:v>Desktop / VPS / sandbox</x:v>
      </x:c>
      <x:c r="N5" s="16" t="n">
        <x:v>0.5</x:v>
      </x:c>
      <x:c r="O5" s="16" t="n">
        <x:v>1</x:v>
      </x:c>
      <x:c r="P5" s="16" t="n">
        <x:v>1</x:v>
      </x:c>
      <x:c r="Q5" s="16" t="n">
        <x:v>0.75</x:v>
      </x:c>
      <x:c r="R5" s="16" t="n">
        <x:v>0.5</x:v>
      </x:c>
      <x:c r="S5" s="16" t="n">
        <x:v>1</x:v>
      </x:c>
      <x:c r="T5" s="16" t="n">
        <x:v>1</x:v>
      </x:c>
      <x:c r="U5" s="16" t="n">
        <x:v>1</x:v>
      </x:c>
      <x:c r="V5" s="16" t="n">
        <x:v>0.5</x:v>
      </x:c>
      <x:c r="W5" s="16" t="n">
        <x:v>1</x:v>
      </x:c>
      <x:c r="X5" s="18" t="n">
        <x:f>ROUND(N5*12+O5*14+P5*14+Q5*12+R5*8+S5*12+T5*8+U5*8+V5*6+W5*6,1)</x:f>
        <x:v>84</x:v>
      </x:c>
      <x:c r="Y5" s="14" t="str">
        <x:f>IF(D5="CORE",IF(X5&gt;=85,"CORE A+",IF(X5&gt;=75,"CORE A",IF(X5&gt;=65,"CORE B","CORE C"))),"JARVIS ORGAN")</x:f>
        <x:v>CORE A</x:v>
      </x:c>
      <x:c r="Z5" s="14" t="str">
        <x:v>Excellent cerveau agentique et couche d'apprentissage.</x:v>
      </x:c>
      <x:c r="AA5" s="14" t="str">
        <x:v>https://github.com/NousResearch/hermes-agent</x:v>
      </x:c>
    </x:row>
    <x:row r="6">
      <x:c r="A6" s="14" t="n">
        <x:v>5</x:v>
      </x:c>
      <x:c r="B6" s="14" t="str">
        <x:v>Agent Zero</x:v>
      </x:c>
      <x:c r="C6" s="14" t="str">
        <x:v>agent0ai/agent-zero</x:v>
      </x:c>
      <x:c r="D6" s="14" t="str">
        <x:v>CORE</x:v>
      </x:c>
      <x:c r="E6" s="14" t="str">
        <x:v>Autonomous Agent OS</x:v>
      </x:c>
      <x:c r="F6" s="14" t="str">
        <x:v>À vérifier</x:v>
      </x:c>
      <x:c r="G6" s="14" t="str">
        <x:v>N/V</x:v>
      </x:c>
      <x:c r="H6" s="20" t="n">
        <x:v>18800</x:v>
      </x:c>
      <x:c r="I6" s="14" t="str">
        <x:v>Oui</x:v>
      </x:c>
      <x:c r="J6" s="14" t="str">
        <x:v>Très active</x:v>
      </x:c>
      <x:c r="K6" s="14" t="str">
        <x:v>2026-08-11</x:v>
      </x:c>
      <x:c r="L6" s="14" t="str">
        <x:v>Linux desktop, browser DOM, mémoire projets, plugins, skills, multi-agent</x:v>
      </x:c>
      <x:c r="M6" s="14" t="str">
        <x:v>Docker / desktop / VPS / Pi</x:v>
      </x:c>
      <x:c r="N6" s="16" t="n">
        <x:v>0</x:v>
      </x:c>
      <x:c r="O6" s="16" t="n">
        <x:v>1</x:v>
      </x:c>
      <x:c r="P6" s="16" t="n">
        <x:v>1</x:v>
      </x:c>
      <x:c r="Q6" s="16" t="n">
        <x:v>1</x:v>
      </x:c>
      <x:c r="R6" s="16" t="n">
        <x:v>1</x:v>
      </x:c>
      <x:c r="S6" s="16" t="n">
        <x:v>1</x:v>
      </x:c>
      <x:c r="T6" s="16" t="n">
        <x:v>1</x:v>
      </x:c>
      <x:c r="U6" s="16" t="n">
        <x:v>1</x:v>
      </x:c>
      <x:c r="V6" s="16" t="n">
        <x:v>0</x:v>
      </x:c>
      <x:c r="W6" s="16" t="n">
        <x:v>1</x:v>
      </x:c>
      <x:c r="X6" s="18" t="n">
        <x:f>ROUND(N6*12+O6*14+P6*14+Q6*12+R6*8+S6*12+T6*8+U6*8+V6*6+W6*6,1)</x:f>
        <x:v>82</x:v>
      </x:c>
      <x:c r="Y6" s="14" t="str">
        <x:f>IF(D6="CORE",IF(X6&gt;=85,"CORE A+",IF(X6&gt;=75,"CORE A",IF(X6&gt;=65,"CORE B","CORE C"))),"JARVIS ORGAN")</x:f>
        <x:v>CORE A</x:v>
      </x:c>
      <x:c r="Z6" s="14" t="str">
        <x:v>Très fort exécuteur avec vrai ordinateur.</x:v>
      </x:c>
      <x:c r="AA6" s="14" t="str">
        <x:v>https://github.com/agent0ai/agent-zero</x:v>
      </x:c>
    </x:row>
    <x:row r="7">
      <x:c r="A7" s="14" t="n">
        <x:v>6</x:v>
      </x:c>
      <x:c r="B7" s="14" t="str">
        <x:v>Jarvis (isair)</x:v>
      </x:c>
      <x:c r="C7" s="14" t="str">
        <x:v>isair/jarvis</x:v>
      </x:c>
      <x:c r="D7" s="14" t="str">
        <x:v>CORE</x:v>
      </x:c>
      <x:c r="E7" s="14" t="str">
        <x:v>Voice-first personal AI</x:v>
      </x:c>
      <x:c r="F7" s="14" t="str">
        <x:v>Source-available</x:v>
      </x:c>
      <x:c r="G7" s="14" t="str">
        <x:v>Custom: personnel gratuit / commercial sur contact</x:v>
      </x:c>
      <x:c r="H7" s="20" t="n">
        <x:v>1600</x:v>
      </x:c>
      <x:c r="I7" s="14" t="str">
        <x:v>Oui</x:v>
      </x:c>
      <x:c r="J7" s="14" t="str">
        <x:v>Active</x:v>
      </x:c>
      <x:c r="K7" s="14" t="str">
        <x:v>2026-08-11</x:v>
      </x:c>
      <x:c r="L7" s="14" t="str">
        <x:v>Voix offline, mémoire, lecture écran, Chrome, web, MCP/outils</x:v>
      </x:c>
      <x:c r="M7" s="14" t="str">
        <x:v>Desktop</x:v>
      </x:c>
      <x:c r="N7" s="16" t="n">
        <x:v>1</x:v>
      </x:c>
      <x:c r="O7" s="16" t="n">
        <x:v>1</x:v>
      </x:c>
      <x:c r="P7" s="16" t="n">
        <x:v>1</x:v>
      </x:c>
      <x:c r="Q7" s="16" t="n">
        <x:v>0.75</x:v>
      </x:c>
      <x:c r="R7" s="16" t="n">
        <x:v>1</x:v>
      </x:c>
      <x:c r="S7" s="16" t="n">
        <x:v>0.5</x:v>
      </x:c>
      <x:c r="T7" s="16" t="n">
        <x:v>0.25</x:v>
      </x:c>
      <x:c r="U7" s="16" t="n">
        <x:v>1</x:v>
      </x:c>
      <x:c r="V7" s="16" t="n">
        <x:v>0.25</x:v>
      </x:c>
      <x:c r="W7" s="16" t="n">
        <x:v>1</x:v>
      </x:c>
      <x:c r="X7" s="18" t="n">
        <x:f>ROUND(N7*12+O7*14+P7*14+Q7*12+R7*8+S7*12+T7*8+U7*8+V7*6+W7*6,1)</x:f>
        <x:v>80.5</x:v>
      </x:c>
      <x:c r="Y7" s="14" t="str">
        <x:f>IF(D7="CORE",IF(X7&gt;=85,"CORE A+",IF(X7&gt;=75,"CORE A",IF(X7&gt;=65,"CORE B","CORE C"))),"JARVIS ORGAN")</x:f>
        <x:v>CORE A</x:v>
      </x:c>
      <x:c r="Z7" s="14" t="str">
        <x:v>Expérience ambiante très proche de JARVIS.</x:v>
      </x:c>
      <x:c r="AA7" s="14" t="str">
        <x:v>https://github.com/isair/jarvis</x:v>
      </x:c>
    </x:row>
    <x:row r="8">
      <x:c r="A8" s="14" t="n">
        <x:v>7</x:v>
      </x:c>
      <x:c r="B8" s="14" t="str">
        <x:v>OpenJarvis</x:v>
      </x:c>
      <x:c r="C8" s="14" t="str">
        <x:v>open-jarvis/OpenJarvis</x:v>
      </x:c>
      <x:c r="D8" s="14" t="str">
        <x:v>CORE</x:v>
      </x:c>
      <x:c r="E8" s="14" t="str">
        <x:v>Personal AI framework</x:v>
      </x:c>
      <x:c r="F8" s="14" t="str">
        <x:v>OSS</x:v>
      </x:c>
      <x:c r="G8" s="14" t="str">
        <x:v>Apache-2.0</x:v>
      </x:c>
      <x:c r="H8" s="20" t="n">
        <x:v>8500</x:v>
      </x:c>
      <x:c r="I8" s="14" t="str">
        <x:v>Oui</x:v>
      </x:c>
      <x:c r="J8" s="14" t="str">
        <x:v>Active / v1</x:v>
      </x:c>
      <x:c r="K8" s="14" t="str">
        <x:v>2026-08-11</x:v>
      </x:c>
      <x:c r="L8" s="14" t="str">
        <x:v>Framework local-first, agents on-demand/planifiés/continus, mémoire/outils</x:v>
      </x:c>
      <x:c r="M8" s="14" t="str">
        <x:v>PC personnel / edge</x:v>
      </x:c>
      <x:c r="N8" s="16" t="n">
        <x:v>0.5</x:v>
      </x:c>
      <x:c r="O8" s="16" t="n">
        <x:v>1</x:v>
      </x:c>
      <x:c r="P8" s="16" t="n">
        <x:v>1</x:v>
      </x:c>
      <x:c r="Q8" s="16" t="n">
        <x:v>0.5</x:v>
      </x:c>
      <x:c r="R8" s="16" t="n">
        <x:v>0.5</x:v>
      </x:c>
      <x:c r="S8" s="16" t="n">
        <x:v>1</x:v>
      </x:c>
      <x:c r="T8" s="16" t="n">
        <x:v>1</x:v>
      </x:c>
      <x:c r="U8" s="16" t="n">
        <x:v>1</x:v>
      </x:c>
      <x:c r="V8" s="16" t="n">
        <x:v>0.25</x:v>
      </x:c>
      <x:c r="W8" s="16" t="n">
        <x:v>1</x:v>
      </x:c>
      <x:c r="X8" s="18" t="n">
        <x:f>ROUND(N8*12+O8*14+P8*14+Q8*12+R8*8+S8*12+T8*8+U8*8+V8*6+W8*6,1)</x:f>
        <x:v>79.5</x:v>
      </x:c>
      <x:c r="Y8" s="14" t="str">
        <x:f>IF(D8="CORE",IF(X8&gt;=85,"CORE A+",IF(X8&gt;=75,"CORE A",IF(X8&gt;=65,"CORE B","CORE C"))),"JARVIS ORGAN")</x:f>
        <x:v>CORE A</x:v>
      </x:c>
      <x:c r="Z8" s="14" t="str">
        <x:v>Excellent socle architectural de Personal AI.</x:v>
      </x:c>
      <x:c r="AA8" s="14" t="str">
        <x:v>https://github.com/open-jarvis/OpenJarvis</x:v>
      </x:c>
    </x:row>
    <x:row r="9">
      <x:c r="A9" s="14" t="n">
        <x:v>8</x:v>
      </x:c>
      <x:c r="B9" s="14" t="str">
        <x:v>PyGPT</x:v>
      </x:c>
      <x:c r="C9" s="14" t="str">
        <x:v>szczyglis-dev/py-gpt</x:v>
      </x:c>
      <x:c r="D9" s="14" t="str">
        <x:v>CORE</x:v>
      </x:c>
      <x:c r="E9" s="14" t="str">
        <x:v>Desktop AI assistant</x:v>
      </x:c>
      <x:c r="F9" s="14" t="str">
        <x:v>Licence à vérifier</x:v>
      </x:c>
      <x:c r="G9" s="14" t="str">
        <x:v>Other / NOASSERTION</x:v>
      </x:c>
      <x:c r="H9" s="20" t="n">
        <x:v>1877</x:v>
      </x:c>
      <x:c r="I9" s="14" t="str">
        <x:v>Oui</x:v>
      </x:c>
      <x:c r="J9" s="14" t="str">
        <x:v>Active</x:v>
      </x:c>
      <x:c r="K9" s="14" t="str">
        <x:v>2026-08-11</x:v>
      </x:c>
      <x:c r="L9" s="14" t="str">
        <x:v>Desktop multi-modèles, voix, vision, RAG, mémoire, agents, MCP/plugins</x:v>
      </x:c>
      <x:c r="M9" s="14" t="str">
        <x:v>Windows / Linux / macOS</x:v>
      </x:c>
      <x:c r="N9" s="16" t="n">
        <x:v>1</x:v>
      </x:c>
      <x:c r="O9" s="16" t="n">
        <x:v>0.75</x:v>
      </x:c>
      <x:c r="P9" s="16" t="n">
        <x:v>1</x:v>
      </x:c>
      <x:c r="Q9" s="16" t="n">
        <x:v>0.5</x:v>
      </x:c>
      <x:c r="R9" s="16" t="n">
        <x:v>1</x:v>
      </x:c>
      <x:c r="S9" s="16" t="n">
        <x:v>0.75</x:v>
      </x:c>
      <x:c r="T9" s="16" t="n">
        <x:v>0.75</x:v>
      </x:c>
      <x:c r="U9" s="16" t="n">
        <x:v>1</x:v>
      </x:c>
      <x:c r="V9" s="16" t="n">
        <x:v>0</x:v>
      </x:c>
      <x:c r="W9" s="16" t="n">
        <x:v>1</x:v>
      </x:c>
      <x:c r="X9" s="18" t="n">
        <x:f>ROUND(N9*12+O9*14+P9*14+Q9*12+R9*8+S9*12+T9*8+U9*8+V9*6+W9*6,1)</x:f>
        <x:v>79.5</x:v>
      </x:c>
      <x:c r="Y9" s="14" t="str">
        <x:f>IF(D9="CORE",IF(X9&gt;=85,"CORE A+",IF(X9&gt;=75,"CORE A",IF(X9&gt;=65,"CORE B","CORE C"))),"JARVIS ORGAN")</x:f>
        <x:v>CORE A</x:v>
      </x:c>
      <x:c r="Z9" s="14" t="str">
        <x:v>Couverture desktop très large.</x:v>
      </x:c>
      <x:c r="AA9" s="14" t="str">
        <x:v>https://github.com/szczyglis-dev/py-gpt</x:v>
      </x:c>
    </x:row>
    <x:row r="10">
      <x:c r="A10" s="14" t="n">
        <x:v>9</x:v>
      </x:c>
      <x:c r="B10" s="14" t="str">
        <x:v>Jarvis (rezaulhreza)</x:v>
      </x:c>
      <x:c r="C10" s="14" t="str">
        <x:v>rezaulhreza/jarvis</x:v>
      </x:c>
      <x:c r="D10" s="14" t="str">
        <x:v>CORE</x:v>
      </x:c>
      <x:c r="E10" s="14" t="str">
        <x:v>Local Ollama assistant</x:v>
      </x:c>
      <x:c r="F10" s="14" t="str">
        <x:v>À vérifier</x:v>
      </x:c>
      <x:c r="G10" s="14" t="str">
        <x:v>N/V</x:v>
      </x:c>
      <x:c r="H10" s="20"/>
      <x:c r="I10" s="14" t="str">
        <x:v>Non</x:v>
      </x:c>
      <x:c r="J10" s="14" t="str">
        <x:v>À vérifier</x:v>
      </x:c>
      <x:c r="K10" s="14" t="str">
        <x:v>2026-08-11</x:v>
      </x:c>
      <x:c r="L10" s="14" t="str">
        <x:v>35+ outils, SQLite memory, RAG, voix, multimodal, skills, Telegram</x:v>
      </x:c>
      <x:c r="M10" s="14" t="str">
        <x:v>Desktop</x:v>
      </x:c>
      <x:c r="N10" s="16" t="n">
        <x:v>1</x:v>
      </x:c>
      <x:c r="O10" s="16" t="n">
        <x:v>1</x:v>
      </x:c>
      <x:c r="P10" s="16" t="n">
        <x:v>1</x:v>
      </x:c>
      <x:c r="Q10" s="16" t="n">
        <x:v>0.5</x:v>
      </x:c>
      <x:c r="R10" s="16" t="n">
        <x:v>1</x:v>
      </x:c>
      <x:c r="S10" s="16" t="n">
        <x:v>0.75</x:v>
      </x:c>
      <x:c r="T10" s="16" t="n">
        <x:v>0.25</x:v>
      </x:c>
      <x:c r="U10" s="16" t="n">
        <x:v>1</x:v>
      </x:c>
      <x:c r="V10" s="16" t="n">
        <x:v>0</x:v>
      </x:c>
      <x:c r="W10" s="16" t="n">
        <x:v>1</x:v>
      </x:c>
      <x:c r="X10" s="18" t="n">
        <x:f>ROUND(N10*12+O10*14+P10*14+Q10*12+R10*8+S10*12+T10*8+U10*8+V10*6+W10*6,1)</x:f>
        <x:v>79</x:v>
      </x:c>
      <x:c r="Y10" s="14" t="str">
        <x:f>IF(D10="CORE",IF(X10&gt;=85,"CORE A+",IF(X10&gt;=75,"CORE A",IF(X10&gt;=65,"CORE B","CORE C"))),"JARVIS ORGAN")</x:f>
        <x:v>CORE A</x:v>
      </x:c>
      <x:c r="Z10" s="14" t="str">
        <x:v>Très intégré ; audit sécurité/maintenance requis.</x:v>
      </x:c>
      <x:c r="AA10" s="14" t="str">
        <x:v>https://github.com/rezaulhreza/jarvis</x:v>
      </x:c>
    </x:row>
    <x:row r="11">
      <x:c r="A11" s="14" t="n">
        <x:v>10</x:v>
      </x:c>
      <x:c r="B11" s="14" t="str">
        <x:v>D.A.W.N.</x:v>
      </x:c>
      <x:c r="C11" s="14" t="str">
        <x:v>The-OASIS-Project/dawn</x:v>
      </x:c>
      <x:c r="D11" s="14" t="str">
        <x:v>CORE</x:v>
      </x:c>
      <x:c r="E11" s="14" t="str">
        <x:v>Embedded JARVIS / smart home</x:v>
      </x:c>
      <x:c r="F11" s="14" t="str">
        <x:v>OSS</x:v>
      </x:c>
      <x:c r="G11" s="14" t="str">
        <x:v>GPL-3.0+</x:v>
      </x:c>
      <x:c r="H11" s="20" t="n">
        <x:v>25</x:v>
      </x:c>
      <x:c r="I11" s="14" t="str">
        <x:v>Oui</x:v>
      </x:c>
      <x:c r="J11" s="14" t="str">
        <x:v>Active / jeune</x:v>
      </x:c>
      <x:c r="K11" s="14" t="str">
        <x:v>2026-08-11</x:v>
      </x:c>
      <x:c r="L11" s="14" t="str">
        <x:v>Voix always-on, mémoire, smart-home, outils, vision, satellites multi-pièces</x:v>
      </x:c>
      <x:c r="M11" s="14" t="str">
        <x:v>Jetson / Pi 5 / ESP32</x:v>
      </x:c>
      <x:c r="N11" s="16" t="n">
        <x:v>1</x:v>
      </x:c>
      <x:c r="O11" s="16" t="n">
        <x:v>1</x:v>
      </x:c>
      <x:c r="P11" s="16" t="n">
        <x:v>0.75</x:v>
      </x:c>
      <x:c r="Q11" s="16" t="n">
        <x:v>0.5</x:v>
      </x:c>
      <x:c r="R11" s="16" t="n">
        <x:v>0.75</x:v>
      </x:c>
      <x:c r="S11" s="16" t="n">
        <x:v>0.75</x:v>
      </x:c>
      <x:c r="T11" s="16" t="n">
        <x:v>0.25</x:v>
      </x:c>
      <x:c r="U11" s="16" t="n">
        <x:v>1</x:v>
      </x:c>
      <x:c r="V11" s="16" t="n">
        <x:v>1</x:v>
      </x:c>
      <x:c r="W11" s="16" t="n">
        <x:v>0.75</x:v>
      </x:c>
      <x:c r="X11" s="18" t="n">
        <x:f>ROUND(N11*12+O11*14+P11*14+Q11*12+R11*8+S11*12+T11*8+U11*8+V11*6+W11*6,1)</x:f>
        <x:v>78</x:v>
      </x:c>
      <x:c r="Y11" s="14" t="str">
        <x:f>IF(D11="CORE",IF(X11&gt;=85,"CORE A+",IF(X11&gt;=75,"CORE A",IF(X11&gt;=65,"CORE B","CORE C"))),"JARVIS ORGAN")</x:f>
        <x:v>CORE A</x:v>
      </x:c>
      <x:c r="Z11" s="14" t="str">
        <x:v>Le plus explicitement orienté JARVIS physique.</x:v>
      </x:c>
      <x:c r="AA11" s="14" t="str">
        <x:v>https://github.com/The-OASIS-Project/dawn</x:v>
      </x:c>
    </x:row>
    <x:row r="12">
      <x:c r="A12" s="14" t="n">
        <x:v>11</x:v>
      </x:c>
      <x:c r="B12" s="14" t="str">
        <x:v>LobeHub</x:v>
      </x:c>
      <x:c r="C12" s="14" t="str">
        <x:v>lobehub/lobehub</x:v>
      </x:c>
      <x:c r="D12" s="14" t="str">
        <x:v>CORE</x:v>
      </x:c>
      <x:c r="E12" s="14" t="str">
        <x:v>Agent workspace / personal AI</x:v>
      </x:c>
      <x:c r="F12" s="14" t="str">
        <x:v>Source-available</x:v>
      </x:c>
      <x:c r="G12" s="14" t="str">
        <x:v>Community / custom</x:v>
      </x:c>
      <x:c r="H12" s="20" t="n">
        <x:v>78000</x:v>
      </x:c>
      <x:c r="I12" s="14" t="str">
        <x:v>Oui</x:v>
      </x:c>
      <x:c r="J12" s="14" t="str">
        <x:v>Très active</x:v>
      </x:c>
      <x:c r="K12" s="14" t="str">
        <x:v>2026-08-11</x:v>
      </x:c>
      <x:c r="L12" s="14" t="str">
        <x:v>Agents, mémoire personnelle, MCP, desktop, voix, multi-agent</x:v>
      </x:c>
      <x:c r="M12" s="14" t="str">
        <x:v>Desktop / serveur</x:v>
      </x:c>
      <x:c r="N12" s="16" t="n">
        <x:v>0.75</x:v>
      </x:c>
      <x:c r="O12" s="16" t="n">
        <x:v>1</x:v>
      </x:c>
      <x:c r="P12" s="16" t="n">
        <x:v>1</x:v>
      </x:c>
      <x:c r="Q12" s="16" t="n">
        <x:v>0.25</x:v>
      </x:c>
      <x:c r="R12" s="16" t="n">
        <x:v>0.75</x:v>
      </x:c>
      <x:c r="S12" s="16" t="n">
        <x:v>0.75</x:v>
      </x:c>
      <x:c r="T12" s="16" t="n">
        <x:v>1</x:v>
      </x:c>
      <x:c r="U12" s="16" t="n">
        <x:v>1</x:v>
      </x:c>
      <x:c r="V12" s="16" t="n">
        <x:v>0</x:v>
      </x:c>
      <x:c r="W12" s="16" t="n">
        <x:v>1</x:v>
      </x:c>
      <x:c r="X12" s="18" t="n">
        <x:f>ROUND(N12*12+O12*14+P12*14+Q12*12+R12*8+S12*12+T12*8+U12*8+V12*6+W12*6,1)</x:f>
        <x:v>77</x:v>
      </x:c>
      <x:c r="Y12" s="14" t="str">
        <x:f>IF(D12="CORE",IF(X12&gt;=85,"CORE A+",IF(X12&gt;=75,"CORE A",IF(X12&gt;=65,"CORE B","CORE C"))),"JARVIS ORGAN")</x:f>
        <x:v>CORE A</x:v>
      </x:c>
      <x:c r="Z12" s="14" t="str">
        <x:v>Très bon cockpit multi-agent/mémoire.</x:v>
      </x:c>
      <x:c r="AA12" s="14" t="str">
        <x:v>https://github.com/lobehub/lobehub</x:v>
      </x:c>
    </x:row>
    <x:row r="13">
      <x:c r="A13" s="14" t="n">
        <x:v>12</x:v>
      </x:c>
      <x:c r="B13" s="14" t="str">
        <x:v>Leon</x:v>
      </x:c>
      <x:c r="C13" s="14" t="str">
        <x:v>leon-ai/leon</x:v>
      </x:c>
      <x:c r="D13" s="14" t="str">
        <x:v>CORE</x:v>
      </x:c>
      <x:c r="E13" s="14" t="str">
        <x:v>Personal assistant</x:v>
      </x:c>
      <x:c r="F13" s="14" t="str">
        <x:v>OSS</x:v>
      </x:c>
      <x:c r="G13" s="14" t="str">
        <x:v>MIT</x:v>
      </x:c>
      <x:c r="H13" s="20" t="n">
        <x:v>17400</x:v>
      </x:c>
      <x:c r="I13" s="14" t="str">
        <x:v>Oui</x:v>
      </x:c>
      <x:c r="J13" s="14" t="str">
        <x:v>Developer Preview 2.0</x:v>
      </x:c>
      <x:c r="K13" s="14" t="str">
        <x:v>2026-08-11</x:v>
      </x:c>
      <x:c r="L13" s="14" t="str">
        <x:v>Voix, skills, contexte, mémoire et modes agentiques</x:v>
      </x:c>
      <x:c r="M13" s="14" t="str">
        <x:v>Windows / Linux / macOS</x:v>
      </x:c>
      <x:c r="N13" s="16" t="n">
        <x:v>1</x:v>
      </x:c>
      <x:c r="O13" s="16" t="n">
        <x:v>0.75</x:v>
      </x:c>
      <x:c r="P13" s="16" t="n">
        <x:v>1</x:v>
      </x:c>
      <x:c r="Q13" s="16" t="n">
        <x:v>0.5</x:v>
      </x:c>
      <x:c r="R13" s="16" t="n">
        <x:v>0.5</x:v>
      </x:c>
      <x:c r="S13" s="16" t="n">
        <x:v>0.75</x:v>
      </x:c>
      <x:c r="T13" s="16" t="n">
        <x:v>0.5</x:v>
      </x:c>
      <x:c r="U13" s="16" t="n">
        <x:v>1</x:v>
      </x:c>
      <x:c r="V13" s="16" t="n">
        <x:v>0.25</x:v>
      </x:c>
      <x:c r="W13" s="16" t="n">
        <x:v>1</x:v>
      </x:c>
      <x:c r="X13" s="18" t="n">
        <x:f>ROUND(N13*12+O13*14+P13*14+Q13*12+R13*8+S13*12+T13*8+U13*8+V13*6+W13*6,1)</x:f>
        <x:v>75</x:v>
      </x:c>
      <x:c r="Y13" s="14" t="str">
        <x:f>IF(D13="CORE",IF(X13&gt;=85,"CORE A+",IF(X13&gt;=75,"CORE A",IF(X13&gt;=65,"CORE B","CORE C"))),"JARVIS ORGAN")</x:f>
        <x:v>CORE A</x:v>
      </x:c>
      <x:c r="Z13" s="14" t="str">
        <x:v>Projet historique sérieux pour assistant/skills.</x:v>
      </x:c>
      <x:c r="AA13" s="14" t="str">
        <x:v>https://github.com/leon-ai/leon</x:v>
      </x:c>
    </x:row>
    <x:row r="14">
      <x:c r="A14" s="14" t="n">
        <x:v>13</x:v>
      </x:c>
      <x:c r="B14" s="14" t="str">
        <x:v>Moltis</x:v>
      </x:c>
      <x:c r="C14" s="14" t="str">
        <x:v>moltis-org/moltis</x:v>
      </x:c>
      <x:c r="D14" s="14" t="str">
        <x:v>CORE</x:v>
      </x:c>
      <x:c r="E14" s="14" t="str">
        <x:v>Persistent personal agent server</x:v>
      </x:c>
      <x:c r="F14" s="14" t="str">
        <x:v>OSS</x:v>
      </x:c>
      <x:c r="G14" s="14" t="str">
        <x:v>MIT</x:v>
      </x:c>
      <x:c r="H14" s="20" t="n">
        <x:v>2800</x:v>
      </x:c>
      <x:c r="I14" s="14" t="str">
        <x:v>Oui</x:v>
      </x:c>
      <x:c r="J14" s="14" t="str">
        <x:v>Très active</x:v>
      </x:c>
      <x:c r="K14" s="14" t="str">
        <x:v>2026-08-11</x:v>
      </x:c>
      <x:c r="L14" s="14" t="str">
        <x:v>Serveur Rust persistant, sandbox, voix, mémoire, messageries, browser, MCP</x:v>
      </x:c>
      <x:c r="M14" s="14" t="str">
        <x:v>Mac mini / Pi / serveur</x:v>
      </x:c>
      <x:c r="N14" s="16" t="n">
        <x:v>0.75</x:v>
      </x:c>
      <x:c r="O14" s="16" t="n">
        <x:v>1</x:v>
      </x:c>
      <x:c r="P14" s="16" t="n">
        <x:v>1</x:v>
      </x:c>
      <x:c r="Q14" s="16" t="n">
        <x:v>0.5</x:v>
      </x:c>
      <x:c r="R14" s="16" t="n">
        <x:v>0.25</x:v>
      </x:c>
      <x:c r="S14" s="16" t="n">
        <x:v>1</x:v>
      </x:c>
      <x:c r="T14" s="16" t="n">
        <x:v>0.5</x:v>
      </x:c>
      <x:c r="U14" s="16" t="n">
        <x:v>1</x:v>
      </x:c>
      <x:c r="V14" s="16" t="n">
        <x:v>0</x:v>
      </x:c>
      <x:c r="W14" s="16" t="n">
        <x:v>1</x:v>
      </x:c>
      <x:c r="X14" s="18" t="n">
        <x:f>ROUND(N14*12+O14*14+P14*14+Q14*12+R14*8+S14*12+T14*8+U14*8+V14*6+W14*6,1)</x:f>
        <x:v>75</x:v>
      </x:c>
      <x:c r="Y14" s="14" t="str">
        <x:f>IF(D14="CORE",IF(X14&gt;=85,"CORE A+",IF(X14&gt;=75,"CORE A",IF(X14&gt;=65,"CORE B","CORE C"))),"JARVIS ORGAN")</x:f>
        <x:v>CORE A</x:v>
      </x:c>
      <x:c r="Z14" s="14" t="str">
        <x:v>Runtime sécurisé et toujours disponible.</x:v>
      </x:c>
      <x:c r="AA14" s="14" t="str">
        <x:v>https://github.com/moltis-org/moltis</x:v>
      </x:c>
    </x:row>
    <x:row r="15">
      <x:c r="A15" s="14" t="n">
        <x:v>14</x:v>
      </x:c>
      <x:c r="B15" s="14" t="str">
        <x:v>AnythingLLM</x:v>
      </x:c>
      <x:c r="C15" s="14" t="str">
        <x:v>Mintplex-Labs/anything-llm</x:v>
      </x:c>
      <x:c r="D15" s="14" t="str">
        <x:v>CORE</x:v>
      </x:c>
      <x:c r="E15" s="14" t="str">
        <x:v>Local AI workspace + agents</x:v>
      </x:c>
      <x:c r="F15" s="14" t="str">
        <x:v>OSS</x:v>
      </x:c>
      <x:c r="G15" s="14" t="str">
        <x:v>MIT</x:v>
      </x:c>
      <x:c r="H15" s="20" t="n">
        <x:v>61600</x:v>
      </x:c>
      <x:c r="I15" s="14" t="str">
        <x:v>Oui</x:v>
      </x:c>
      <x:c r="J15" s="14" t="str">
        <x:v>Active</x:v>
      </x:c>
      <x:c r="K15" s="14" t="str">
        <x:v>2026-08-11</x:v>
      </x:c>
      <x:c r="L15" s="14" t="str">
        <x:v>Agents, mémoire, RAG, tâches planifiées, MCP, multimodal</x:v>
      </x:c>
      <x:c r="M15" s="14" t="str">
        <x:v>Desktop / Docker / serveur</x:v>
      </x:c>
      <x:c r="N15" s="16" t="n">
        <x:v>0.5</x:v>
      </x:c>
      <x:c r="O15" s="16" t="n">
        <x:v>1</x:v>
      </x:c>
      <x:c r="P15" s="16" t="n">
        <x:v>1</x:v>
      </x:c>
      <x:c r="Q15" s="16" t="n">
        <x:v>0.25</x:v>
      </x:c>
      <x:c r="R15" s="16" t="n">
        <x:v>0.75</x:v>
      </x:c>
      <x:c r="S15" s="16" t="n">
        <x:v>0.75</x:v>
      </x:c>
      <x:c r="T15" s="16" t="n">
        <x:v>0.75</x:v>
      </x:c>
      <x:c r="U15" s="16" t="n">
        <x:v>1</x:v>
      </x:c>
      <x:c r="V15" s="16" t="n">
        <x:v>0</x:v>
      </x:c>
      <x:c r="W15" s="16" t="n">
        <x:v>1</x:v>
      </x:c>
      <x:c r="X15" s="18" t="n">
        <x:f>ROUND(N15*12+O15*14+P15*14+Q15*12+R15*8+S15*12+T15*8+U15*8+V15*6+W15*6,1)</x:f>
        <x:v>72</x:v>
      </x:c>
      <x:c r="Y15" s="14" t="str">
        <x:f>IF(D15="CORE",IF(X15&gt;=85,"CORE A+",IF(X15&gt;=75,"CORE A",IF(X15&gt;=65,"CORE B","CORE C"))),"JARVIS ORGAN")</x:f>
        <x:v>CORE B</x:v>
      </x:c>
      <x:c r="Z15" s="14" t="str">
        <x:v>Base locale solide pour mémoire documentaire et agents.</x:v>
      </x:c>
      <x:c r="AA15" s="14" t="str">
        <x:v>https://github.com/Mintplex-Labs/anything-llm</x:v>
      </x:c>
    </x:row>
    <x:row r="16">
      <x:c r="A16" s="14" t="n">
        <x:v>15</x:v>
      </x:c>
      <x:c r="B16" s="14" t="str">
        <x:v>IRIS-AI</x:v>
      </x:c>
      <x:c r="C16" s="14" t="str">
        <x:v>IRISX-AI/IRIS-AI</x:v>
      </x:c>
      <x:c r="D16" s="14" t="str">
        <x:v>CORE</x:v>
      </x:c>
      <x:c r="E16" s="14" t="str">
        <x:v>Desktop voice assistant</x:v>
      </x:c>
      <x:c r="F16" s="14" t="str">
        <x:v>Open-core / partiel</x:v>
      </x:c>
      <x:c r="G16" s="14" t="str">
        <x:v>Core agent propriétaire</x:v>
      </x:c>
      <x:c r="H16" s="20"/>
      <x:c r="I16" s="14" t="str">
        <x:v>Non</x:v>
      </x:c>
      <x:c r="J16" s="14" t="str">
        <x:v>Active</x:v>
      </x:c>
      <x:c r="K16" s="14" t="str">
        <x:v>2026-08-11</x:v>
      </x:c>
      <x:c r="L16" s="14" t="str">
        <x:v>Voix, automation, mémoire, vision, web ; cœur agent partiellement fermé</x:v>
      </x:c>
      <x:c r="M16" s="14" t="str">
        <x:v>Desktop</x:v>
      </x:c>
      <x:c r="N16" s="16" t="n">
        <x:v>1</x:v>
      </x:c>
      <x:c r="O16" s="16" t="n">
        <x:v>1</x:v>
      </x:c>
      <x:c r="P16" s="16" t="n">
        <x:v>1</x:v>
      </x:c>
      <x:c r="Q16" s="16" t="n">
        <x:v>0.5</x:v>
      </x:c>
      <x:c r="R16" s="16" t="n">
        <x:v>1</x:v>
      </x:c>
      <x:c r="S16" s="16" t="n">
        <x:v>0.75</x:v>
      </x:c>
      <x:c r="T16" s="16" t="n">
        <x:v>0.25</x:v>
      </x:c>
      <x:c r="U16" s="16" t="n">
        <x:v>0.5</x:v>
      </x:c>
      <x:c r="V16" s="16" t="n">
        <x:v>0</x:v>
      </x:c>
      <x:c r="W16" s="16" t="n">
        <x:v>0.5</x:v>
      </x:c>
      <x:c r="X16" s="18" t="n">
        <x:f>ROUND(N16*12+O16*14+P16*14+Q16*12+R16*8+S16*12+T16*8+U16*8+V16*6+W16*6,1)</x:f>
        <x:v>72</x:v>
      </x:c>
      <x:c r="Y16" s="14" t="str">
        <x:f>IF(D16="CORE",IF(X16&gt;=85,"CORE A+",IF(X16&gt;=75,"CORE A",IF(X16&gt;=65,"CORE B","CORE C"))),"JARVIS ORGAN")</x:f>
        <x:v>CORE B</x:v>
      </x:c>
      <x:c r="Z16" s="14" t="str">
        <x:v>À observer pour UX, moins réutilisable techniquement.</x:v>
      </x:c>
      <x:c r="AA16" s="14" t="str">
        <x:v>https://github.com/IRISX-AI/IRIS-AI</x:v>
      </x:c>
    </x:row>
    <x:row r="17">
      <x:c r="A17" s="14" t="n">
        <x:v>16</x:v>
      </x:c>
      <x:c r="B17" s="14" t="str">
        <x:v>LocalAI</x:v>
      </x:c>
      <x:c r="C17" s="14" t="str">
        <x:v>mudler/LocalAI</x:v>
      </x:c>
      <x:c r="D17" s="14" t="str">
        <x:v>CORE</x:v>
      </x:c>
      <x:c r="E17" s="14" t="str">
        <x:v>Local multimodal AI engine</x:v>
      </x:c>
      <x:c r="F17" s="14" t="str">
        <x:v>OSS</x:v>
      </x:c>
      <x:c r="G17" s="14" t="str">
        <x:v>MIT</x:v>
      </x:c>
      <x:c r="H17" s="20" t="n">
        <x:v>46500</x:v>
      </x:c>
      <x:c r="I17" s="14" t="str">
        <x:v>Oui</x:v>
      </x:c>
      <x:c r="J17" s="14" t="str">
        <x:v>Active</x:v>
      </x:c>
      <x:c r="K17" s="14" t="str">
        <x:v>2026-08-11</x:v>
      </x:c>
      <x:c r="L17" s="14" t="str">
        <x:v>OpenAI-compatible local, voix, vision, RAG, MCP et agents</x:v>
      </x:c>
      <x:c r="M17" s="14" t="str">
        <x:v>CPU / GPU / edge</x:v>
      </x:c>
      <x:c r="N17" s="16" t="n">
        <x:v>1</x:v>
      </x:c>
      <x:c r="O17" s="16" t="n">
        <x:v>0.5</x:v>
      </x:c>
      <x:c r="P17" s="16" t="n">
        <x:v>1</x:v>
      </x:c>
      <x:c r="Q17" s="16" t="n">
        <x:v>0.25</x:v>
      </x:c>
      <x:c r="R17" s="16" t="n">
        <x:v>1</x:v>
      </x:c>
      <x:c r="S17" s="16" t="n">
        <x:v>0.75</x:v>
      </x:c>
      <x:c r="T17" s="16" t="n">
        <x:v>0.5</x:v>
      </x:c>
      <x:c r="U17" s="16" t="n">
        <x:v>1</x:v>
      </x:c>
      <x:c r="V17" s="16" t="n">
        <x:v>0</x:v>
      </x:c>
      <x:c r="W17" s="16" t="n">
        <x:v>1</x:v>
      </x:c>
      <x:c r="X17" s="18" t="n">
        <x:f>ROUND(N17*12+O17*14+P17*14+Q17*12+R17*8+S17*12+T17*8+U17*8+V17*6+W17*6,1)</x:f>
        <x:v>71</x:v>
      </x:c>
      <x:c r="Y17" s="14" t="str">
        <x:f>IF(D17="CORE",IF(X17&gt;=85,"CORE A+",IF(X17&gt;=75,"CORE A",IF(X17&gt;=65,"CORE B","CORE C"))),"JARVIS ORGAN")</x:f>
        <x:v>CORE B</x:v>
      </x:c>
      <x:c r="Z17" s="14" t="str">
        <x:v>Moteur souverain multimodal et fallback offline.</x:v>
      </x:c>
      <x:c r="AA17" s="14" t="str">
        <x:v>https://github.com/mudler/LocalAI</x:v>
      </x:c>
    </x:row>
    <x:row r="18">
      <x:c r="A18" s="14" t="n">
        <x:v>17</x:v>
      </x:c>
      <x:c r="B18" s="14" t="str">
        <x:v>Open WebUI</x:v>
      </x:c>
      <x:c r="C18" s="14" t="str">
        <x:v>open-webui/open-webui</x:v>
      </x:c>
      <x:c r="D18" s="14" t="str">
        <x:v>CORE</x:v>
      </x:c>
      <x:c r="E18" s="14" t="str">
        <x:v>Self-hosted AI interface</x:v>
      </x:c>
      <x:c r="F18" s="14" t="str">
        <x:v>Source-available</x:v>
      </x:c>
      <x:c r="G18" s="14" t="str">
        <x:v>Open WebUI License</x:v>
      </x:c>
      <x:c r="H18" s="20" t="n">
        <x:v>147300</x:v>
      </x:c>
      <x:c r="I18" s="14" t="str">
        <x:v>Oui</x:v>
      </x:c>
      <x:c r="J18" s="14" t="str">
        <x:v>Très active</x:v>
      </x:c>
      <x:c r="K18" s="14" t="str">
        <x:v>2026-08-11</x:v>
      </x:c>
      <x:c r="L18" s="14" t="str">
        <x:v>Voix, vision, outils, mémoire, automations, desktop app</x:v>
      </x:c>
      <x:c r="M18" s="14" t="str">
        <x:v>Desktop / serveur</x:v>
      </x:c>
      <x:c r="N18" s="16" t="n">
        <x:v>0.75</x:v>
      </x:c>
      <x:c r="O18" s="16" t="n">
        <x:v>0.75</x:v>
      </x:c>
      <x:c r="P18" s="16" t="n">
        <x:v>1</x:v>
      </x:c>
      <x:c r="Q18" s="16" t="n">
        <x:v>0.25</x:v>
      </x:c>
      <x:c r="R18" s="16" t="n">
        <x:v>0.75</x:v>
      </x:c>
      <x:c r="S18" s="16" t="n">
        <x:v>0.75</x:v>
      </x:c>
      <x:c r="T18" s="16" t="n">
        <x:v>0.5</x:v>
      </x:c>
      <x:c r="U18" s="16" t="n">
        <x:v>1</x:v>
      </x:c>
      <x:c r="V18" s="16" t="n">
        <x:v>0</x:v>
      </x:c>
      <x:c r="W18" s="16" t="n">
        <x:v>1</x:v>
      </x:c>
      <x:c r="X18" s="18" t="n">
        <x:f>ROUND(N18*12+O18*14+P18*14+Q18*12+R18*8+S18*12+T18*8+U18*8+V18*6+W18*6,1)</x:f>
        <x:v>69.5</x:v>
      </x:c>
      <x:c r="Y18" s="14" t="str">
        <x:f>IF(D18="CORE",IF(X18&gt;=85,"CORE A+",IF(X18&gt;=75,"CORE A",IF(X18&gt;=65,"CORE B","CORE C"))),"JARVIS ORGAN")</x:f>
        <x:v>CORE B</x:v>
      </x:c>
      <x:c r="Z18" s="14" t="str">
        <x:v>Cockpit mature, utile comme interface universelle.</x:v>
      </x:c>
      <x:c r="AA18" s="14" t="str">
        <x:v>https://github.com/open-webui/open-webui</x:v>
      </x:c>
    </x:row>
    <x:row r="19">
      <x:c r="A19" s="14" t="n">
        <x:v>18</x:v>
      </x:c>
      <x:c r="B19" s="14" t="str">
        <x:v>CAAL</x:v>
      </x:c>
      <x:c r="C19" s="14" t="str">
        <x:v>CoreWorxLab/CAAL</x:v>
      </x:c>
      <x:c r="D19" s="14" t="str">
        <x:v>CORE</x:v>
      </x:c>
      <x:c r="E19" s="14" t="str">
        <x:v>Voice + n8n + Home Assistant</x:v>
      </x:c>
      <x:c r="F19" s="14" t="str">
        <x:v>OSS</x:v>
      </x:c>
      <x:c r="G19" s="14" t="str">
        <x:v>MIT</x:v>
      </x:c>
      <x:c r="H19" s="20"/>
      <x:c r="I19" s="14" t="str">
        <x:v>Non</x:v>
      </x:c>
      <x:c r="J19" s="14" t="str">
        <x:v>Active</x:v>
      </x:c>
      <x:c r="K19" s="14" t="str">
        <x:v>2026-08-11</x:v>
      </x:c>
      <x:c r="L19" s="14" t="str">
        <x:v>LiveKit voice + n8n auto-tools + Home Assistant + Ollama</x:v>
      </x:c>
      <x:c r="M19" s="14" t="str">
        <x:v>Docker / GPU conseillé</x:v>
      </x:c>
      <x:c r="N19" s="16" t="n">
        <x:v>1</x:v>
      </x:c>
      <x:c r="O19" s="16" t="n">
        <x:v>0.5</x:v>
      </x:c>
      <x:c r="P19" s="16" t="n">
        <x:v>1</x:v>
      </x:c>
      <x:c r="Q19" s="16" t="n">
        <x:v>0.25</x:v>
      </x:c>
      <x:c r="R19" s="16" t="n">
        <x:v>0</x:v>
      </x:c>
      <x:c r="S19" s="16" t="n">
        <x:v>0.75</x:v>
      </x:c>
      <x:c r="T19" s="16" t="n">
        <x:v>0.25</x:v>
      </x:c>
      <x:c r="U19" s="16" t="n">
        <x:v>1</x:v>
      </x:c>
      <x:c r="V19" s="16" t="n">
        <x:v>1</x:v>
      </x:c>
      <x:c r="W19" s="16" t="n">
        <x:v>1</x:v>
      </x:c>
      <x:c r="X19" s="18" t="n">
        <x:f>ROUND(N19*12+O19*14+P19*14+Q19*12+R19*8+S19*12+T19*8+U19*8+V19*6+W19*6,1)</x:f>
        <x:v>67</x:v>
      </x:c>
      <x:c r="Y19" s="14" t="str">
        <x:f>IF(D19="CORE",IF(X19&gt;=85,"CORE A+",IF(X19&gt;=75,"CORE A",IF(X19&gt;=65,"CORE B","CORE C"))),"JARVIS ORGAN")</x:f>
        <x:v>CORE B</x:v>
      </x:c>
      <x:c r="Z19" s="14" t="str">
        <x:v>Architecture idéale où n8n devient le catalogue d'actions.</x:v>
      </x:c>
      <x:c r="AA19" s="14" t="str">
        <x:v>https://github.com/CoreWorxLab/CAAL</x:v>
      </x:c>
    </x:row>
    <x:row r="20">
      <x:c r="A20" s="14" t="n">
        <x:v>19</x:v>
      </x:c>
      <x:c r="B20" s="14" t="str">
        <x:v>Letta Code</x:v>
      </x:c>
      <x:c r="C20" s="14" t="str">
        <x:v>letta-ai/letta-code</x:v>
      </x:c>
      <x:c r="D20" s="14" t="str">
        <x:v>CORE</x:v>
      </x:c>
      <x:c r="E20" s="14" t="str">
        <x:v>Memory-first long-lived agent</x:v>
      </x:c>
      <x:c r="F20" s="14" t="str">
        <x:v>OSS</x:v>
      </x:c>
      <x:c r="G20" s="14" t="str">
        <x:v>N/V</x:v>
      </x:c>
      <x:c r="H20" s="20" t="n">
        <x:v>2600</x:v>
      </x:c>
      <x:c r="I20" s="14" t="str">
        <x:v>Oui</x:v>
      </x:c>
      <x:c r="J20" s="14" t="str">
        <x:v>Active</x:v>
      </x:c>
      <x:c r="K20" s="14" t="str">
        <x:v>2026-08-11</x:v>
      </x:c>
      <x:c r="L20" s="14" t="str">
        <x:v>Identité/mémoire persistante, tools, sous-agents, CLI/desktop</x:v>
      </x:c>
      <x:c r="M20" s="14" t="str">
        <x:v>Desktop / serveur</x:v>
      </x:c>
      <x:c r="N20" s="16" t="n">
        <x:v>0</x:v>
      </x:c>
      <x:c r="O20" s="16" t="n">
        <x:v>1</x:v>
      </x:c>
      <x:c r="P20" s="16" t="n">
        <x:v>1</x:v>
      </x:c>
      <x:c r="Q20" s="16" t="n">
        <x:v>0.5</x:v>
      </x:c>
      <x:c r="R20" s="16" t="n">
        <x:v>0.25</x:v>
      </x:c>
      <x:c r="S20" s="16" t="n">
        <x:v>0.75</x:v>
      </x:c>
      <x:c r="T20" s="16" t="n">
        <x:v>1</x:v>
      </x:c>
      <x:c r="U20" s="16" t="n">
        <x:v>1</x:v>
      </x:c>
      <x:c r="V20" s="16" t="n">
        <x:v>0</x:v>
      </x:c>
      <x:c r="W20" s="16" t="n">
        <x:v>1</x:v>
      </x:c>
      <x:c r="X20" s="18" t="n">
        <x:f>ROUND(N20*12+O20*14+P20*14+Q20*12+R20*8+S20*12+T20*8+U20*8+V20*6+W20*6,1)</x:f>
        <x:v>67</x:v>
      </x:c>
      <x:c r="Y20" s="14" t="str">
        <x:f>IF(D20="CORE",IF(X20&gt;=85,"CORE A+",IF(X20&gt;=75,"CORE A",IF(X20&gt;=65,"CORE B","CORE C"))),"JARVIS ORGAN")</x:f>
        <x:v>CORE B</x:v>
      </x:c>
      <x:c r="Z20" s="14" t="str">
        <x:v>Excellent modèle d'identité longue durée.</x:v>
      </x:c>
      <x:c r="AA20" s="14" t="str">
        <x:v>https://github.com/letta-ai/letta-code</x:v>
      </x:c>
    </x:row>
    <x:row r="21">
      <x:c r="A21" s="14" t="n">
        <x:v>20</x:v>
      </x:c>
      <x:c r="B21" s="14" t="str">
        <x:v>AutoGPT</x:v>
      </x:c>
      <x:c r="C21" s="14" t="str">
        <x:v>Significant-Gravitas/AutoGPT</x:v>
      </x:c>
      <x:c r="D21" s="14" t="str">
        <x:v>CORE</x:v>
      </x:c>
      <x:c r="E21" s="14" t="str">
        <x:v>Continuous autonomous agents</x:v>
      </x:c>
      <x:c r="F21" s="14" t="str">
        <x:v>Licence non-standard</x:v>
      </x:c>
      <x:c r="G21" s="14" t="str">
        <x:v>Other</x:v>
      </x:c>
      <x:c r="H21" s="20" t="n">
        <x:v>185000</x:v>
      </x:c>
      <x:c r="I21" s="14" t="str">
        <x:v>Oui</x:v>
      </x:c>
      <x:c r="J21" s="14" t="str">
        <x:v>Active</x:v>
      </x:c>
      <x:c r="K21" s="14" t="str">
        <x:v>2026-08-11</x:v>
      </x:c>
      <x:c r="L21" s="14" t="str">
        <x:v>Création, déploiement et gestion d'agents autonomes continus</x:v>
      </x:c>
      <x:c r="M21" s="14" t="str">
        <x:v>Serveur / Docker</x:v>
      </x:c>
      <x:c r="N21" s="16" t="n">
        <x:v>0</x:v>
      </x:c>
      <x:c r="O21" s="16" t="n">
        <x:v>0.75</x:v>
      </x:c>
      <x:c r="P21" s="16" t="n">
        <x:v>1</x:v>
      </x:c>
      <x:c r="Q21" s="16" t="n">
        <x:v>0.5</x:v>
      </x:c>
      <x:c r="R21" s="16" t="n">
        <x:v>0.25</x:v>
      </x:c>
      <x:c r="S21" s="16" t="n">
        <x:v>1</x:v>
      </x:c>
      <x:c r="T21" s="16" t="n">
        <x:v>1</x:v>
      </x:c>
      <x:c r="U21" s="16" t="n">
        <x:v>1</x:v>
      </x:c>
      <x:c r="V21" s="16" t="n">
        <x:v>0</x:v>
      </x:c>
      <x:c r="W21" s="16" t="n">
        <x:v>1</x:v>
      </x:c>
      <x:c r="X21" s="18" t="n">
        <x:f>ROUND(N21*12+O21*14+P21*14+Q21*12+R21*8+S21*12+T21*8+U21*8+V21*6+W21*6,1)</x:f>
        <x:v>66.5</x:v>
      </x:c>
      <x:c r="Y21" s="14" t="str">
        <x:f>IF(D21="CORE",IF(X21&gt;=85,"CORE A+",IF(X21&gt;=75,"CORE A",IF(X21&gt;=65,"CORE B","CORE C"))),"JARVIS ORGAN")</x:f>
        <x:v>CORE B</x:v>
      </x:c>
      <x:c r="Z21" s="14" t="str">
        <x:v>Référence autonomie continue, plus moteur qu'assistant ambiant.</x:v>
      </x:c>
      <x:c r="AA21" s="14" t="str">
        <x:v>https://github.com/Significant-Gravitas/AutoGPT</x:v>
      </x:c>
    </x:row>
    <x:row r="22">
      <x:c r="A22" s="14" t="n">
        <x:v>21</x:v>
      </x:c>
      <x:c r="B22" s="14" t="str">
        <x:v>Open Cowork</x:v>
      </x:c>
      <x:c r="C22" s="14" t="str">
        <x:v>OpenCoworkAI/open-cowork</x:v>
      </x:c>
      <x:c r="D22" s="14" t="str">
        <x:v>CORE</x:v>
      </x:c>
      <x:c r="E22" s="14" t="str">
        <x:v>Desktop cowork agent</x:v>
      </x:c>
      <x:c r="F22" s="14" t="str">
        <x:v>À vérifier</x:v>
      </x:c>
      <x:c r="G22" s="14" t="str">
        <x:v>N/V</x:v>
      </x:c>
      <x:c r="H22" s="20"/>
      <x:c r="I22" s="14" t="str">
        <x:v>Non</x:v>
      </x:c>
      <x:c r="J22" s="14" t="str">
        <x:v>Active</x:v>
      </x:c>
      <x:c r="K22" s="14" t="str">
        <x:v>2026-08-11</x:v>
      </x:c>
      <x:c r="L22" s="14" t="str">
        <x:v>Multi-modèles, isolation VM, documents, MCP, automatisation GUI</x:v>
      </x:c>
      <x:c r="M22" s="14" t="str">
        <x:v>Windows / macOS</x:v>
      </x:c>
      <x:c r="N22" s="16" t="n">
        <x:v>0</x:v>
      </x:c>
      <x:c r="O22" s="16" t="n">
        <x:v>0.5</x:v>
      </x:c>
      <x:c r="P22" s="16" t="n">
        <x:v>1</x:v>
      </x:c>
      <x:c r="Q22" s="16" t="n">
        <x:v>1</x:v>
      </x:c>
      <x:c r="R22" s="16" t="n">
        <x:v>1</x:v>
      </x:c>
      <x:c r="S22" s="16" t="n">
        <x:v>0.75</x:v>
      </x:c>
      <x:c r="T22" s="16" t="n">
        <x:v>0.5</x:v>
      </x:c>
      <x:c r="U22" s="16" t="n">
        <x:v>0.75</x:v>
      </x:c>
      <x:c r="V22" s="16" t="n">
        <x:v>0</x:v>
      </x:c>
      <x:c r="W22" s="16" t="n">
        <x:v>1</x:v>
      </x:c>
      <x:c r="X22" s="18" t="n">
        <x:f>ROUND(N22*12+O22*14+P22*14+Q22*12+R22*8+S22*12+T22*8+U22*8+V22*6+W22*6,1)</x:f>
        <x:v>66</x:v>
      </x:c>
      <x:c r="Y22" s="14" t="str">
        <x:f>IF(D22="CORE",IF(X22&gt;=85,"CORE A+",IF(X22&gt;=75,"CORE A",IF(X22&gt;=65,"CORE B","CORE C"))),"JARVIS ORGAN")</x:f>
        <x:v>CORE B</x:v>
      </x:c>
      <x:c r="Z22" s="14" t="str">
        <x:v>Référence pour action desktop sécurisée.</x:v>
      </x:c>
      <x:c r="AA22" s="14" t="str">
        <x:v>https://github.com/OpenCoworkAI/open-cowork</x:v>
      </x:c>
    </x:row>
    <x:row r="23">
      <x:c r="A23" s="14" t="n">
        <x:v>22</x:v>
      </x:c>
      <x:c r="B23" s="14" t="str">
        <x:v>Alice</x:v>
      </x:c>
      <x:c r="C23" s="14" t="str">
        <x:v>pmbstyle/Alice</x:v>
      </x:c>
      <x:c r="D23" s="14" t="str">
        <x:v>CORE</x:v>
      </x:c>
      <x:c r="E23" s="14" t="str">
        <x:v>Voice-first desktop assistant</x:v>
      </x:c>
      <x:c r="F23" s="14" t="str">
        <x:v>OSS</x:v>
      </x:c>
      <x:c r="G23" s="14" t="str">
        <x:v>MIT</x:v>
      </x:c>
      <x:c r="H23" s="20" t="n">
        <x:v>314</x:v>
      </x:c>
      <x:c r="I23" s="14" t="str">
        <x:v>Oui</x:v>
      </x:c>
      <x:c r="J23" s="14" t="str">
        <x:v>Active</x:v>
      </x:c>
      <x:c r="K23" s="14" t="str">
        <x:v>2026-08-11</x:v>
      </x:c>
      <x:c r="L23" s="14" t="str">
        <x:v>Electron, STT/TTS, mémoire, function calling, MCP, local/cloud</x:v>
      </x:c>
      <x:c r="M23" s="14" t="str">
        <x:v>Desktop</x:v>
      </x:c>
      <x:c r="N23" s="16" t="n">
        <x:v>1</x:v>
      </x:c>
      <x:c r="O23" s="16" t="n">
        <x:v>0.75</x:v>
      </x:c>
      <x:c r="P23" s="16" t="n">
        <x:v>1</x:v>
      </x:c>
      <x:c r="Q23" s="16" t="n">
        <x:v>0.25</x:v>
      </x:c>
      <x:c r="R23" s="16" t="n">
        <x:v>0.5</x:v>
      </x:c>
      <x:c r="S23" s="16" t="n">
        <x:v>0.5</x:v>
      </x:c>
      <x:c r="T23" s="16" t="n">
        <x:v>0.25</x:v>
      </x:c>
      <x:c r="U23" s="16" t="n">
        <x:v>1</x:v>
      </x:c>
      <x:c r="V23" s="16" t="n">
        <x:v>0</x:v>
      </x:c>
      <x:c r="W23" s="16" t="n">
        <x:v>1</x:v>
      </x:c>
      <x:c r="X23" s="18" t="n">
        <x:f>ROUND(N23*12+O23*14+P23*14+Q23*12+R23*8+S23*12+T23*8+U23*8+V23*6+W23*6,1)</x:f>
        <x:v>65.5</x:v>
      </x:c>
      <x:c r="Y23" s="14" t="str">
        <x:f>IF(D23="CORE",IF(X23&gt;=85,"CORE A+",IF(X23&gt;=75,"CORE A",IF(X23&gt;=65,"CORE B","CORE C"))),"JARVIS ORGAN")</x:f>
        <x:v>CORE B</x:v>
      </x:c>
      <x:c r="Z23" s="14" t="str">
        <x:v>Bonne référence UX voix + mémoire + MCP.</x:v>
      </x:c>
      <x:c r="AA23" s="14" t="str">
        <x:v>https://github.com/pmbstyle/Alice</x:v>
      </x:c>
    </x:row>
    <x:row r="24">
      <x:c r="A24" s="14" t="n">
        <x:v>23</x:v>
      </x:c>
      <x:c r="B24" s="14" t="str">
        <x:v>Open Interpreter</x:v>
      </x:c>
      <x:c r="C24" s="14" t="str">
        <x:v>openinterpreter/openinterpreter</x:v>
      </x:c>
      <x:c r="D24" s="14" t="str">
        <x:v>CORE</x:v>
      </x:c>
      <x:c r="E24" s="14" t="str">
        <x:v>Computer-control coding agent</x:v>
      </x:c>
      <x:c r="F24" s="14" t="str">
        <x:v>OSS</x:v>
      </x:c>
      <x:c r="G24" s="14" t="str">
        <x:v>Apache-2.0</x:v>
      </x:c>
      <x:c r="H24" s="20" t="n">
        <x:v>67300</x:v>
      </x:c>
      <x:c r="I24" s="14" t="str">
        <x:v>Oui</x:v>
      </x:c>
      <x:c r="J24" s="14" t="str">
        <x:v>Active</x:v>
      </x:c>
      <x:c r="K24" s="14" t="str">
        <x:v>2026-08-11</x:v>
      </x:c>
      <x:c r="L24" s="14" t="str">
        <x:v>Exécution locale, code/terminal, MCP, skills, hooks et contrôle machine</x:v>
      </x:c>
      <x:c r="M24" s="14" t="str">
        <x:v>Desktop</x:v>
      </x:c>
      <x:c r="N24" s="16" t="n">
        <x:v>0.25</x:v>
      </x:c>
      <x:c r="O24" s="16" t="n">
        <x:v>0.25</x:v>
      </x:c>
      <x:c r="P24" s="16" t="n">
        <x:v>1</x:v>
      </x:c>
      <x:c r="Q24" s="16" t="n">
        <x:v>1</x:v>
      </x:c>
      <x:c r="R24" s="16" t="n">
        <x:v>0.75</x:v>
      </x:c>
      <x:c r="S24" s="16" t="n">
        <x:v>0.75</x:v>
      </x:c>
      <x:c r="T24" s="16" t="n">
        <x:v>0.25</x:v>
      </x:c>
      <x:c r="U24" s="16" t="n">
        <x:v>1</x:v>
      </x:c>
      <x:c r="V24" s="16" t="n">
        <x:v>0.25</x:v>
      </x:c>
      <x:c r="W24" s="16" t="n">
        <x:v>1</x:v>
      </x:c>
      <x:c r="X24" s="18" t="n">
        <x:f>ROUND(N24*12+O24*14+P24*14+Q24*12+R24*8+S24*12+T24*8+U24*8+V24*6+W24*6,1)</x:f>
        <x:v>65</x:v>
      </x:c>
      <x:c r="Y24" s="14" t="str">
        <x:f>IF(D24="CORE",IF(X24&gt;=85,"CORE A+",IF(X24&gt;=75,"CORE A",IF(X24&gt;=65,"CORE B","CORE C"))),"JARVIS ORGAN")</x:f>
        <x:v>CORE B</x:v>
      </x:c>
      <x:c r="Z24" s="14" t="str">
        <x:v>Transforme langage naturel en actions réelles sur ordinateur.</x:v>
      </x:c>
      <x:c r="AA24" s="14" t="str">
        <x:v>https://github.com/openinterpreter/openinterpreter</x:v>
      </x:c>
    </x:row>
    <x:row r="25">
      <x:c r="A25" s="14" t="n">
        <x:v>24</x:v>
      </x:c>
      <x:c r="B25" s="14" t="str">
        <x:v>Khoj</x:v>
      </x:c>
      <x:c r="C25" s="14" t="str">
        <x:v>khoj-ai/khoj</x:v>
      </x:c>
      <x:c r="D25" s="14" t="str">
        <x:v>CORE</x:v>
      </x:c>
      <x:c r="E25" s="14" t="str">
        <x:v>Second brain / autonomous AI</x:v>
      </x:c>
      <x:c r="F25" s="14" t="str">
        <x:v>OSS</x:v>
      </x:c>
      <x:c r="G25" s="14" t="str">
        <x:v>AGPL-3.0</x:v>
      </x:c>
      <x:c r="H25" s="20" t="n">
        <x:v>36400</x:v>
      </x:c>
      <x:c r="I25" s="14" t="str">
        <x:v>Oui</x:v>
      </x:c>
      <x:c r="J25" s="14" t="str">
        <x:v>Active</x:v>
      </x:c>
      <x:c r="K25" s="14" t="str">
        <x:v>2026-08-11</x:v>
      </x:c>
      <x:c r="L25" s="14" t="str">
        <x:v>Docs/web, agents, automations, deep research, voix, self-host</x:v>
      </x:c>
      <x:c r="M25" s="14" t="str">
        <x:v>Desktop / serveur</x:v>
      </x:c>
      <x:c r="N25" s="16" t="n">
        <x:v>0.5</x:v>
      </x:c>
      <x:c r="O25" s="16" t="n">
        <x:v>1</x:v>
      </x:c>
      <x:c r="P25" s="16" t="n">
        <x:v>0.75</x:v>
      </x:c>
      <x:c r="Q25" s="16" t="n">
        <x:v>0.25</x:v>
      </x:c>
      <x:c r="R25" s="16" t="n">
        <x:v>0.25</x:v>
      </x:c>
      <x:c r="S25" s="16" t="n">
        <x:v>1</x:v>
      </x:c>
      <x:c r="T25" s="16" t="n">
        <x:v>0.5</x:v>
      </x:c>
      <x:c r="U25" s="16" t="n">
        <x:v>1</x:v>
      </x:c>
      <x:c r="V25" s="16" t="n">
        <x:v>0</x:v>
      </x:c>
      <x:c r="W25" s="16" t="n">
        <x:v>0.75</x:v>
      </x:c>
      <x:c r="X25" s="18" t="n">
        <x:f>ROUND(N25*12+O25*14+P25*14+Q25*12+R25*8+S25*12+T25*8+U25*8+V25*6+W25*6,1)</x:f>
        <x:v>64</x:v>
      </x:c>
      <x:c r="Y25" s="14" t="str">
        <x:f>IF(D25="CORE",IF(X25&gt;=85,"CORE A+",IF(X25&gt;=75,"CORE A",IF(X25&gt;=65,"CORE B","CORE C"))),"JARVIS ORGAN")</x:f>
        <x:v>CORE C</x:v>
      </x:c>
      <x:c r="Z25" s="14" t="str">
        <x:v>Excellente couche mémoire personnelle et proactive.</x:v>
      </x:c>
      <x:c r="AA25" s="14" t="str">
        <x:v>https://github.com/khoj-ai/khoj</x:v>
      </x:c>
    </x:row>
    <x:row r="26">
      <x:c r="A26" s="14" t="n">
        <x:v>25</x:v>
      </x:c>
      <x:c r="B26" s="14" t="str">
        <x:v>OpenVoiceOS</x:v>
      </x:c>
      <x:c r="C26" s="14" t="str">
        <x:v>OpenVoiceOS</x:v>
      </x:c>
      <x:c r="D26" s="14" t="str">
        <x:v>CORE</x:v>
      </x:c>
      <x:c r="E26" s="14" t="str">
        <x:v>Voice assistant platform</x:v>
      </x:c>
      <x:c r="F26" s="14" t="str">
        <x:v>OSS</x:v>
      </x:c>
      <x:c r="G26" s="14" t="str">
        <x:v>Divers OSS</x:v>
      </x:c>
      <x:c r="H26" s="20" t="n">
        <x:v>310</x:v>
      </x:c>
      <x:c r="I26" s="14" t="str">
        <x:v>Partiel</x:v>
      </x:c>
      <x:c r="J26" s="14" t="str">
        <x:v>Active</x:v>
      </x:c>
      <x:c r="K26" s="14" t="str">
        <x:v>2026-08-11</x:v>
      </x:c>
      <x:c r="L26" s="14" t="str">
        <x:v>Listener, audio, GUI, skills, PHAL, messagebus</x:v>
      </x:c>
      <x:c r="M26" s="14" t="str">
        <x:v>Pi / desktop / serveur</x:v>
      </x:c>
      <x:c r="N26" s="16" t="n">
        <x:v>1</x:v>
      </x:c>
      <x:c r="O26" s="16" t="n">
        <x:v>0.25</x:v>
      </x:c>
      <x:c r="P26" s="16" t="n">
        <x:v>0.75</x:v>
      </x:c>
      <x:c r="Q26" s="16" t="n">
        <x:v>0.25</x:v>
      </x:c>
      <x:c r="R26" s="16" t="n">
        <x:v>0</x:v>
      </x:c>
      <x:c r="S26" s="16" t="n">
        <x:v>0.5</x:v>
      </x:c>
      <x:c r="T26" s="16" t="n">
        <x:v>0</x:v>
      </x:c>
      <x:c r="U26" s="16" t="n">
        <x:v>1</x:v>
      </x:c>
      <x:c r="V26" s="16" t="n">
        <x:v>1</x:v>
      </x:c>
      <x:c r="W26" s="16" t="n">
        <x:v>1</x:v>
      </x:c>
      <x:c r="X26" s="18" t="n">
        <x:f>ROUND(N26*12+O26*14+P26*14+Q26*12+R26*8+S26*12+T26*8+U26*8+V26*6+W26*6,1)</x:f>
        <x:v>55</x:v>
      </x:c>
      <x:c r="Y26" s="14" t="str">
        <x:f>IF(D26="CORE",IF(X26&gt;=85,"CORE A+",IF(X26&gt;=75,"CORE A",IF(X26&gt;=65,"CORE B","CORE C"))),"JARVIS ORGAN")</x:f>
        <x:v>CORE C</x:v>
      </x:c>
      <x:c r="Z26" s="14" t="str">
        <x:v>Couche vocale distribuée hardware-friendly.</x:v>
      </x:c>
      <x:c r="AA26" s="14" t="str">
        <x:v>https://github.com/OpenVoiceOS</x:v>
      </x:c>
    </x:row>
    <x:row r="27">
      <x:c r="A27" s="14" t="n">
        <x:v>26</x:v>
      </x:c>
      <x:c r="B27" s="14" t="str">
        <x:v>Letta</x:v>
      </x:c>
      <x:c r="C27" s="14" t="str">
        <x:v>letta-ai/letta</x:v>
      </x:c>
      <x:c r="D27" s="14" t="str">
        <x:v>ORGAN</x:v>
      </x:c>
      <x:c r="E27" s="14" t="str">
        <x:v>Memory / stateful agents</x:v>
      </x:c>
      <x:c r="F27" s="14" t="str">
        <x:v>OSS</x:v>
      </x:c>
      <x:c r="G27" s="14" t="str">
        <x:v>Apache-2.0</x:v>
      </x:c>
      <x:c r="H27" s="20" t="n">
        <x:v>23000</x:v>
      </x:c>
      <x:c r="I27" s="14" t="str">
        <x:v>Oui</x:v>
      </x:c>
      <x:c r="J27" s="14" t="str">
        <x:v>Active</x:v>
      </x:c>
      <x:c r="K27" s="14" t="str">
        <x:v>2026-08-11</x:v>
      </x:c>
      <x:c r="L27" s="14" t="str">
        <x:v>Agents stateful avec mémoire avancée et apprentissage</x:v>
      </x:c>
      <x:c r="M27" s="14" t="str">
        <x:v>Local / serveur</x:v>
      </x:c>
      <x:c r="N27" s="16" t="n">
        <x:v>0</x:v>
      </x:c>
      <x:c r="O27" s="16" t="n">
        <x:v>1</x:v>
      </x:c>
      <x:c r="P27" s="16" t="n">
        <x:v>1</x:v>
      </x:c>
      <x:c r="Q27" s="16" t="n">
        <x:v>0.5</x:v>
      </x:c>
      <x:c r="R27" s="16" t="n">
        <x:v>0.25</x:v>
      </x:c>
      <x:c r="S27" s="16" t="n">
        <x:v>0.75</x:v>
      </x:c>
      <x:c r="T27" s="16" t="n">
        <x:v>1</x:v>
      </x:c>
      <x:c r="U27" s="16" t="n">
        <x:v>1</x:v>
      </x:c>
      <x:c r="V27" s="16" t="n">
        <x:v>0</x:v>
      </x:c>
      <x:c r="W27" s="16" t="n">
        <x:v>1</x:v>
      </x:c>
      <x:c r="X27" s="18" t="n">
        <x:f>ROUND(N27*12+O27*14+P27*14+Q27*12+R27*8+S27*12+T27*8+U27*8+V27*6+W27*6,1)</x:f>
        <x:v>67</x:v>
      </x:c>
      <x:c r="Y27" s="14" t="str">
        <x:f>IF(D27="CORE",IF(X27&gt;=85,"CORE A+",IF(X27&gt;=75,"CORE A",IF(X27&gt;=65,"CORE B","CORE C"))),"JARVIS ORGAN")</x:f>
        <x:v>JARVIS ORGAN</x:v>
      </x:c>
      <x:c r="Z27" s="14" t="str">
        <x:v>Organe mémoire/identité très fort.</x:v>
      </x:c>
      <x:c r="AA27" s="14" t="str">
        <x:v>https://github.com/letta-ai/letta</x:v>
      </x:c>
    </x:row>
    <x:row r="28">
      <x:c r="A28" s="14" t="n">
        <x:v>27</x:v>
      </x:c>
      <x:c r="B28" s="14" t="str">
        <x:v>Coast Open Computer Use</x:v>
      </x:c>
      <x:c r="C28" s="14" t="str">
        <x:v>coasty-ai/open-computer-use</x:v>
      </x:c>
      <x:c r="D28" s="14" t="str">
        <x:v>ORGAN</x:v>
      </x:c>
      <x:c r="E28" s="14" t="str">
        <x:v>Computer use agent</x:v>
      </x:c>
      <x:c r="F28" s="14" t="str">
        <x:v>OSS</x:v>
      </x:c>
      <x:c r="G28" s="14" t="str">
        <x:v>Apache-2.0</x:v>
      </x:c>
      <x:c r="H28" s="20" t="n">
        <x:v>661</x:v>
      </x:c>
      <x:c r="I28" s="14" t="str">
        <x:v>Oui</x:v>
      </x:c>
      <x:c r="J28" s="14" t="str">
        <x:v>Active</x:v>
      </x:c>
      <x:c r="K28" s="14" t="str">
        <x:v>2026-08-11</x:v>
      </x:c>
      <x:c r="L28" s="14" t="str">
        <x:v>Browser + terminal + desktop + planner multi-agent + MCP</x:v>
      </x:c>
      <x:c r="M28" s="14" t="str">
        <x:v>Desktop</x:v>
      </x:c>
      <x:c r="N28" s="16" t="n">
        <x:v>0</x:v>
      </x:c>
      <x:c r="O28" s="16" t="n">
        <x:v>0.25</x:v>
      </x:c>
      <x:c r="P28" s="16" t="n">
        <x:v>1</x:v>
      </x:c>
      <x:c r="Q28" s="16" t="n">
        <x:v>1</x:v>
      </x:c>
      <x:c r="R28" s="16" t="n">
        <x:v>1</x:v>
      </x:c>
      <x:c r="S28" s="16" t="n">
        <x:v>0.75</x:v>
      </x:c>
      <x:c r="T28" s="16" t="n">
        <x:v>0.75</x:v>
      </x:c>
      <x:c r="U28" s="16" t="n">
        <x:v>1</x:v>
      </x:c>
      <x:c r="V28" s="16" t="n">
        <x:v>0</x:v>
      </x:c>
      <x:c r="W28" s="16" t="n">
        <x:v>1</x:v>
      </x:c>
      <x:c r="X28" s="18" t="n">
        <x:f>ROUND(N28*12+O28*14+P28*14+Q28*12+R28*8+S28*12+T28*8+U28*8+V28*6+W28*6,1)</x:f>
        <x:v>66.5</x:v>
      </x:c>
      <x:c r="Y28" s="14" t="str">
        <x:f>IF(D28="CORE",IF(X28&gt;=85,"CORE A+",IF(X28&gt;=75,"CORE A",IF(X28&gt;=65,"CORE B","CORE C"))),"JARVIS ORGAN")</x:f>
        <x:v>JARVIS ORGAN</x:v>
      </x:c>
      <x:c r="Z28" s="14" t="str">
        <x:v>Computer-use local expérimental complet.</x:v>
      </x:c>
      <x:c r="AA28" s="14" t="str">
        <x:v>https://github.com/coasty-ai/open-computer-use</x:v>
      </x:c>
    </x:row>
    <x:row r="29">
      <x:c r="A29" s="14" t="n">
        <x:v>28</x:v>
      </x:c>
      <x:c r="B29" s="14" t="str">
        <x:v>LangGraph</x:v>
      </x:c>
      <x:c r="C29" s="14" t="str">
        <x:v>langchain-ai/langgraph</x:v>
      </x:c>
      <x:c r="D29" s="14" t="str">
        <x:v>ORGAN</x:v>
      </x:c>
      <x:c r="E29" s="14" t="str">
        <x:v>Stateful agent orchestration</x:v>
      </x:c>
      <x:c r="F29" s="14" t="str">
        <x:v>OSS</x:v>
      </x:c>
      <x:c r="G29" s="14" t="str">
        <x:v>N/V</x:v>
      </x:c>
      <x:c r="H29" s="20"/>
      <x:c r="I29" s="14" t="str">
        <x:v>Non</x:v>
      </x:c>
      <x:c r="J29" s="14" t="str">
        <x:v>Active</x:v>
      </x:c>
      <x:c r="K29" s="14" t="str">
        <x:v>2026-08-11</x:v>
      </x:c>
      <x:c r="L29" s="14" t="str">
        <x:v>Graphes d'agents stateful et long-running</x:v>
      </x:c>
      <x:c r="M29" s="14" t="str">
        <x:v>Local / serveur</x:v>
      </x:c>
      <x:c r="N29" s="16" t="n">
        <x:v>0</x:v>
      </x:c>
      <x:c r="O29" s="16" t="n">
        <x:v>0.75</x:v>
      </x:c>
      <x:c r="P29" s="16" t="n">
        <x:v>1</x:v>
      </x:c>
      <x:c r="Q29" s="16" t="n">
        <x:v>0.25</x:v>
      </x:c>
      <x:c r="R29" s="16" t="n">
        <x:v>0.25</x:v>
      </x:c>
      <x:c r="S29" s="16" t="n">
        <x:v>1</x:v>
      </x:c>
      <x:c r="T29" s="16" t="n">
        <x:v>1</x:v>
      </x:c>
      <x:c r="U29" s="16" t="n">
        <x:v>1</x:v>
      </x:c>
      <x:c r="V29" s="16" t="n">
        <x:v>0</x:v>
      </x:c>
      <x:c r="W29" s="16" t="n">
        <x:v>1</x:v>
      </x:c>
      <x:c r="X29" s="18" t="n">
        <x:f>ROUND(N29*12+O29*14+P29*14+Q29*12+R29*8+S29*12+T29*8+U29*8+V29*6+W29*6,1)</x:f>
        <x:v>63.5</x:v>
      </x:c>
      <x:c r="Y29" s="14" t="str">
        <x:f>IF(D29="CORE",IF(X29&gt;=85,"CORE A+",IF(X29&gt;=75,"CORE A",IF(X29&gt;=65,"CORE B","CORE C"))),"JARVIS ORGAN")</x:f>
        <x:v>JARVIS ORGAN</x:v>
      </x:c>
      <x:c r="Z29" s="14" t="str">
        <x:v>Socle robuste pour orchestration à états.</x:v>
      </x:c>
      <x:c r="AA29" s="14" t="str">
        <x:v>https://github.com/langchain-ai/langgraph</x:v>
      </x:c>
    </x:row>
    <x:row r="30">
      <x:c r="A30" s="14" t="n">
        <x:v>29</x:v>
      </x:c>
      <x:c r="B30" s="14" t="str">
        <x:v>Dify</x:v>
      </x:c>
      <x:c r="C30" s="14" t="str">
        <x:v>langgenius/dify</x:v>
      </x:c>
      <x:c r="D30" s="14" t="str">
        <x:v>ORGAN</x:v>
      </x:c>
      <x:c r="E30" s="14" t="str">
        <x:v>Agent/app platform</x:v>
      </x:c>
      <x:c r="F30" s="14" t="str">
        <x:v>OSS / open-core</x:v>
      </x:c>
      <x:c r="G30" s="14" t="str">
        <x:v>N/V</x:v>
      </x:c>
      <x:c r="H30" s="20"/>
      <x:c r="I30" s="14" t="str">
        <x:v>Non</x:v>
      </x:c>
      <x:c r="J30" s="14" t="str">
        <x:v>Très active</x:v>
      </x:c>
      <x:c r="K30" s="14" t="str">
        <x:v>2026-08-11</x:v>
      </x:c>
      <x:c r="L30" s="14" t="str">
        <x:v>Agents, workflows, RAG, tools et observabilité</x:v>
      </x:c>
      <x:c r="M30" s="14" t="str">
        <x:v>Self-host / cloud</x:v>
      </x:c>
      <x:c r="N30" s="16" t="n">
        <x:v>0.25</x:v>
      </x:c>
      <x:c r="O30" s="16" t="n">
        <x:v>0.5</x:v>
      </x:c>
      <x:c r="P30" s="16" t="n">
        <x:v>1</x:v>
      </x:c>
      <x:c r="Q30" s="16" t="n">
        <x:v>0.25</x:v>
      </x:c>
      <x:c r="R30" s="16" t="n">
        <x:v>0.5</x:v>
      </x:c>
      <x:c r="S30" s="16" t="n">
        <x:v>1</x:v>
      </x:c>
      <x:c r="T30" s="16" t="n">
        <x:v>0.75</x:v>
      </x:c>
      <x:c r="U30" s="16" t="n">
        <x:v>1</x:v>
      </x:c>
      <x:c r="V30" s="16" t="n">
        <x:v>0</x:v>
      </x:c>
      <x:c r="W30" s="16" t="n">
        <x:v>1</x:v>
      </x:c>
      <x:c r="X30" s="18" t="n">
        <x:f>ROUND(N30*12+O30*14+P30*14+Q30*12+R30*8+S30*12+T30*8+U30*8+V30*6+W30*6,1)</x:f>
        <x:v>63</x:v>
      </x:c>
      <x:c r="Y30" s="14" t="str">
        <x:f>IF(D30="CORE",IF(X30&gt;=85,"CORE A+",IF(X30&gt;=75,"CORE A",IF(X30&gt;=65,"CORE B","CORE C"))),"JARVIS ORGAN")</x:f>
        <x:v>JARVIS ORGAN</x:v>
      </x:c>
      <x:c r="Z30" s="14" t="str">
        <x:v>Back-office visuel pour gouverner les capacités.</x:v>
      </x:c>
      <x:c r="AA30" s="14" t="str">
        <x:v>https://github.com/langgenius/dify</x:v>
      </x:c>
    </x:row>
    <x:row r="31">
      <x:c r="A31" s="14" t="n">
        <x:v>30</x:v>
      </x:c>
      <x:c r="B31" s="14" t="str">
        <x:v>OpenHands</x:v>
      </x:c>
      <x:c r="C31" s="14" t="str">
        <x:v>All-Hands-AI/OpenHands</x:v>
      </x:c>
      <x:c r="D31" s="14" t="str">
        <x:v>ORGAN</x:v>
      </x:c>
      <x:c r="E31" s="14" t="str">
        <x:v>Coding / software agent</x:v>
      </x:c>
      <x:c r="F31" s="14" t="str">
        <x:v>OSS core</x:v>
      </x:c>
      <x:c r="G31" s="14" t="str">
        <x:v>MIT (core)</x:v>
      </x:c>
      <x:c r="H31" s="20" t="n">
        <x:v>68900</x:v>
      </x:c>
      <x:c r="I31" s="14" t="str">
        <x:v>Oui</x:v>
      </x:c>
      <x:c r="J31" s="14" t="str">
        <x:v>Active</x:v>
      </x:c>
      <x:c r="K31" s="14" t="str">
        <x:v>2026-08-11</x:v>
      </x:c>
      <x:c r="L31" s="14" t="str">
        <x:v>Agent logiciel autonome, environnement d'exécution et navigateur</x:v>
      </x:c>
      <x:c r="M31" s="14" t="str">
        <x:v>Docker / serveur</x:v>
      </x:c>
      <x:c r="N31" s="16" t="n">
        <x:v>0</x:v>
      </x:c>
      <x:c r="O31" s="16" t="n">
        <x:v>0.5</x:v>
      </x:c>
      <x:c r="P31" s="16" t="n">
        <x:v>1</x:v>
      </x:c>
      <x:c r="Q31" s="16" t="n">
        <x:v>0.75</x:v>
      </x:c>
      <x:c r="R31" s="16" t="n">
        <x:v>0.5</x:v>
      </x:c>
      <x:c r="S31" s="16" t="n">
        <x:v>1</x:v>
      </x:c>
      <x:c r="T31" s="16" t="n">
        <x:v>0.5</x:v>
      </x:c>
      <x:c r="U31" s="16" t="n">
        <x:v>0.75</x:v>
      </x:c>
      <x:c r="V31" s="16" t="n">
        <x:v>0</x:v>
      </x:c>
      <x:c r="W31" s="16" t="n">
        <x:v>1</x:v>
      </x:c>
      <x:c r="X31" s="18" t="n">
        <x:f>ROUND(N31*12+O31*14+P31*14+Q31*12+R31*8+S31*12+T31*8+U31*8+V31*6+W31*6,1)</x:f>
        <x:v>62</x:v>
      </x:c>
      <x:c r="Y31" s="14" t="str">
        <x:f>IF(D31="CORE",IF(X31&gt;=85,"CORE A+",IF(X31&gt;=75,"CORE A",IF(X31&gt;=65,"CORE B","CORE C"))),"JARVIS ORGAN")</x:f>
        <x:v>JARVIS ORGAN</x:v>
      </x:c>
      <x:c r="Z31" s="14" t="str">
        <x:v>Organe de développement logiciel autonome.</x:v>
      </x:c>
      <x:c r="AA31" s="14" t="str">
        <x:v>https://github.com/All-Hands-AI/OpenHands</x:v>
      </x:c>
    </x:row>
    <x:row r="32">
      <x:c r="A32" s="14" t="n">
        <x:v>31</x:v>
      </x:c>
      <x:c r="B32" s="14" t="str">
        <x:v>Browser Use</x:v>
      </x:c>
      <x:c r="C32" s="14" t="str">
        <x:v>browser-use/browser-use</x:v>
      </x:c>
      <x:c r="D32" s="14" t="str">
        <x:v>ORGAN</x:v>
      </x:c>
      <x:c r="E32" s="14" t="str">
        <x:v>Browser agent / computer use</x:v>
      </x:c>
      <x:c r="F32" s="14" t="str">
        <x:v>OSS</x:v>
      </x:c>
      <x:c r="G32" s="14" t="str">
        <x:v>MIT</x:v>
      </x:c>
      <x:c r="H32" s="20" t="n">
        <x:v>98800</x:v>
      </x:c>
      <x:c r="I32" s="14" t="str">
        <x:v>Oui</x:v>
      </x:c>
      <x:c r="J32" s="14" t="str">
        <x:v>Très active</x:v>
      </x:c>
      <x:c r="K32" s="14" t="str">
        <x:v>2026-08-11</x:v>
      </x:c>
      <x:c r="L32" s="14" t="str">
        <x:v>Navigation web agentique, action browser, recovery loops</x:v>
      </x:c>
      <x:c r="M32" s="14" t="str">
        <x:v>Desktop / serveur</x:v>
      </x:c>
      <x:c r="N32" s="16" t="n">
        <x:v>0</x:v>
      </x:c>
      <x:c r="O32" s="16" t="n">
        <x:v>0.25</x:v>
      </x:c>
      <x:c r="P32" s="16" t="n">
        <x:v>1</x:v>
      </x:c>
      <x:c r="Q32" s="16" t="n">
        <x:v>1</x:v>
      </x:c>
      <x:c r="R32" s="16" t="n">
        <x:v>0.75</x:v>
      </x:c>
      <x:c r="S32" s="16" t="n">
        <x:v>1</x:v>
      </x:c>
      <x:c r="T32" s="16" t="n">
        <x:v>0.25</x:v>
      </x:c>
      <x:c r="U32" s="16" t="n">
        <x:v>0.75</x:v>
      </x:c>
      <x:c r="V32" s="16" t="n">
        <x:v>0</x:v>
      </x:c>
      <x:c r="W32" s="16" t="n">
        <x:v>1</x:v>
      </x:c>
      <x:c r="X32" s="18" t="n">
        <x:f>ROUND(N32*12+O32*14+P32*14+Q32*12+R32*8+S32*12+T32*8+U32*8+V32*6+W32*6,1)</x:f>
        <x:v>61.5</x:v>
      </x:c>
      <x:c r="Y32" s="14" t="str">
        <x:f>IF(D32="CORE",IF(X32&gt;=85,"CORE A+",IF(X32&gt;=75,"CORE A",IF(X32&gt;=65,"CORE B","CORE C"))),"JARVIS ORGAN")</x:f>
        <x:v>JARVIS ORGAN</x:v>
      </x:c>
      <x:c r="Z32" s="14" t="str">
        <x:v>Brique spécialisée navigateur très forte.</x:v>
      </x:c>
      <x:c r="AA32" s="14" t="str">
        <x:v>https://github.com/browser-use/browser-use</x:v>
      </x:c>
    </x:row>
    <x:row r="33">
      <x:c r="A33" s="14" t="n">
        <x:v>32</x:v>
      </x:c>
      <x:c r="B33" s="14" t="str">
        <x:v>CrewAI</x:v>
      </x:c>
      <x:c r="C33" s="14" t="str">
        <x:v>crewAIInc/crewAI</x:v>
      </x:c>
      <x:c r="D33" s="14" t="str">
        <x:v>ORGAN</x:v>
      </x:c>
      <x:c r="E33" s="14" t="str">
        <x:v>Multi-agent orchestration</x:v>
      </x:c>
      <x:c r="F33" s="14" t="str">
        <x:v>OSS</x:v>
      </x:c>
      <x:c r="G33" s="14" t="str">
        <x:v>MIT</x:v>
      </x:c>
      <x:c r="H33" s="20" t="n">
        <x:v>52300</x:v>
      </x:c>
      <x:c r="I33" s="14" t="str">
        <x:v>Oui</x:v>
      </x:c>
      <x:c r="J33" s="14" t="str">
        <x:v>Active</x:v>
      </x:c>
      <x:c r="K33" s="14" t="str">
        <x:v>2026-08-11</x:v>
      </x:c>
      <x:c r="L33" s="14" t="str">
        <x:v>Équipes d'agents + flows</x:v>
      </x:c>
      <x:c r="M33" s="14" t="str">
        <x:v>Local / serveur</x:v>
      </x:c>
      <x:c r="N33" s="16" t="n">
        <x:v>0</x:v>
      </x:c>
      <x:c r="O33" s="16" t="n">
        <x:v>0.5</x:v>
      </x:c>
      <x:c r="P33" s="16" t="n">
        <x:v>1</x:v>
      </x:c>
      <x:c r="Q33" s="16" t="n">
        <x:v>0.25</x:v>
      </x:c>
      <x:c r="R33" s="16" t="n">
        <x:v>0.25</x:v>
      </x:c>
      <x:c r="S33" s="16" t="n">
        <x:v>1</x:v>
      </x:c>
      <x:c r="T33" s="16" t="n">
        <x:v>1</x:v>
      </x:c>
      <x:c r="U33" s="16" t="n">
        <x:v>1</x:v>
      </x:c>
      <x:c r="V33" s="16" t="n">
        <x:v>0</x:v>
      </x:c>
      <x:c r="W33" s="16" t="n">
        <x:v>1</x:v>
      </x:c>
      <x:c r="X33" s="18" t="n">
        <x:f>ROUND(N33*12+O33*14+P33*14+Q33*12+R33*8+S33*12+T33*8+U33*8+V33*6+W33*6,1)</x:f>
        <x:v>60</x:v>
      </x:c>
      <x:c r="Y33" s="14" t="str">
        <x:f>IF(D33="CORE",IF(X33&gt;=85,"CORE A+",IF(X33&gt;=75,"CORE A",IF(X33&gt;=65,"CORE B","CORE C"))),"JARVIS ORGAN")</x:f>
        <x:v>JARVIS ORGAN</x:v>
      </x:c>
      <x:c r="Z33" s="14" t="str">
        <x:v>Orchestrateur de délégation spécialisée.</x:v>
      </x:c>
      <x:c r="AA33" s="14" t="str">
        <x:v>https://github.com/crewAIInc/crewAI</x:v>
      </x:c>
    </x:row>
    <x:row r="34">
      <x:c r="A34" s="14" t="n">
        <x:v>33</x:v>
      </x:c>
      <x:c r="B34" s="14" t="str">
        <x:v>Flowise</x:v>
      </x:c>
      <x:c r="C34" s="14" t="str">
        <x:v>FlowiseAI/Flowise</x:v>
      </x:c>
      <x:c r="D34" s="14" t="str">
        <x:v>ORGAN</x:v>
      </x:c>
      <x:c r="E34" s="14" t="str">
        <x:v>Visual agent builder</x:v>
      </x:c>
      <x:c r="F34" s="14" t="str">
        <x:v>OSS</x:v>
      </x:c>
      <x:c r="G34" s="14" t="str">
        <x:v>Apache-2.0</x:v>
      </x:c>
      <x:c r="H34" s="20"/>
      <x:c r="I34" s="14" t="str">
        <x:v>Non</x:v>
      </x:c>
      <x:c r="J34" s="14" t="str">
        <x:v>Active</x:v>
      </x:c>
      <x:c r="K34" s="14" t="str">
        <x:v>2026-08-11</x:v>
      </x:c>
      <x:c r="L34" s="14" t="str">
        <x:v>Builder visuel agents/RAG/tools/MCP</x:v>
      </x:c>
      <x:c r="M34" s="14" t="str">
        <x:v>Self-host / cloud</x:v>
      </x:c>
      <x:c r="N34" s="16" t="n">
        <x:v>0.25</x:v>
      </x:c>
      <x:c r="O34" s="16" t="n">
        <x:v>0.5</x:v>
      </x:c>
      <x:c r="P34" s="16" t="n">
        <x:v>1</x:v>
      </x:c>
      <x:c r="Q34" s="16" t="n">
        <x:v>0.25</x:v>
      </x:c>
      <x:c r="R34" s="16" t="n">
        <x:v>0.5</x:v>
      </x:c>
      <x:c r="S34" s="16" t="n">
        <x:v>0.75</x:v>
      </x:c>
      <x:c r="T34" s="16" t="n">
        <x:v>0.75</x:v>
      </x:c>
      <x:c r="U34" s="16" t="n">
        <x:v>1</x:v>
      </x:c>
      <x:c r="V34" s="16" t="n">
        <x:v>0</x:v>
      </x:c>
      <x:c r="W34" s="16" t="n">
        <x:v>1</x:v>
      </x:c>
      <x:c r="X34" s="18" t="n">
        <x:f>ROUND(N34*12+O34*14+P34*14+Q34*12+R34*8+S34*12+T34*8+U34*8+V34*6+W34*6,1)</x:f>
        <x:v>60</x:v>
      </x:c>
      <x:c r="Y34" s="14" t="str">
        <x:f>IF(D34="CORE",IF(X34&gt;=85,"CORE A+",IF(X34&gt;=75,"CORE A",IF(X34&gt;=65,"CORE B","CORE C"))),"JARVIS ORGAN")</x:f>
        <x:v>JARVIS ORGAN</x:v>
      </x:c>
      <x:c r="Z34" s="14" t="str">
        <x:v>Composition rapide de workflows agentiques.</x:v>
      </x:c>
      <x:c r="AA34" s="14" t="str">
        <x:v>https://github.com/FlowiseAI/Flowise</x:v>
      </x:c>
    </x:row>
    <x:row r="35">
      <x:c r="A35" s="14" t="n">
        <x:v>34</x:v>
      </x:c>
      <x:c r="B35" s="14" t="str">
        <x:v>Home Assistant</x:v>
      </x:c>
      <x:c r="C35" s="14" t="str">
        <x:v>home-assistant/core</x:v>
      </x:c>
      <x:c r="D35" s="14" t="str">
        <x:v>ORGAN</x:v>
      </x:c>
      <x:c r="E35" s="14" t="str">
        <x:v>Physical world / IoT</x:v>
      </x:c>
      <x:c r="F35" s="14" t="str">
        <x:v>OSS</x:v>
      </x:c>
      <x:c r="G35" s="14" t="str">
        <x:v>Apache-2.0</x:v>
      </x:c>
      <x:c r="H35" s="20" t="n">
        <x:v>89900</x:v>
      </x:c>
      <x:c r="I35" s="14" t="str">
        <x:v>Oui</x:v>
      </x:c>
      <x:c r="J35" s="14" t="str">
        <x:v>Très active</x:v>
      </x:c>
      <x:c r="K35" s="14" t="str">
        <x:v>2026-08-11</x:v>
      </x:c>
      <x:c r="L35" s="14" t="str">
        <x:v>Automatisation locale, capteurs, appareils et intégrations</x:v>
      </x:c>
      <x:c r="M35" s="14" t="str">
        <x:v>Pi / serveur local</x:v>
      </x:c>
      <x:c r="N35" s="16" t="n">
        <x:v>0.5</x:v>
      </x:c>
      <x:c r="O35" s="16" t="n">
        <x:v>0.25</x:v>
      </x:c>
      <x:c r="P35" s="16" t="n">
        <x:v>1</x:v>
      </x:c>
      <x:c r="Q35" s="16" t="n">
        <x:v>0</x:v>
      </x:c>
      <x:c r="R35" s="16" t="n">
        <x:v>0.25</x:v>
      </x:c>
      <x:c r="S35" s="16" t="n">
        <x:v>1</x:v>
      </x:c>
      <x:c r="T35" s="16" t="n">
        <x:v>0</x:v>
      </x:c>
      <x:c r="U35" s="16" t="n">
        <x:v>1</x:v>
      </x:c>
      <x:c r="V35" s="16" t="n">
        <x:v>1</x:v>
      </x:c>
      <x:c r="W35" s="16" t="n">
        <x:v>1</x:v>
      </x:c>
      <x:c r="X35" s="18" t="n">
        <x:f>ROUND(N35*12+O35*14+P35*14+Q35*12+R35*8+S35*12+T35*8+U35*8+V35*6+W35*6,1)</x:f>
        <x:v>57.5</x:v>
      </x:c>
      <x:c r="Y35" s="14" t="str">
        <x:f>IF(D35="CORE",IF(X35&gt;=85,"CORE A+",IF(X35&gt;=75,"CORE A",IF(X35&gt;=65,"CORE B","CORE C"))),"JARVIS ORGAN")</x:f>
        <x:v>JARVIS ORGAN</x:v>
      </x:c>
      <x:c r="Z35" s="14" t="str">
        <x:v>Système nerveux open source du monde physique.</x:v>
      </x:c>
      <x:c r="AA35" s="14" t="str">
        <x:v>https://github.com/home-assistant/core</x:v>
      </x:c>
    </x:row>
    <x:row r="36">
      <x:c r="A36" s="14" t="n">
        <x:v>35</x:v>
      </x:c>
      <x:c r="B36" s="14" t="str">
        <x:v>n8n</x:v>
      </x:c>
      <x:c r="C36" s="14" t="str">
        <x:v>n8n-io/n8n</x:v>
      </x:c>
      <x:c r="D36" s="14" t="str">
        <x:v>ORGAN</x:v>
      </x:c>
      <x:c r="E36" s="14" t="str">
        <x:v>Automation nervous system</x:v>
      </x:c>
      <x:c r="F36" s="14" t="str">
        <x:v>Source-available</x:v>
      </x:c>
      <x:c r="G36" s="14" t="str">
        <x:v>Sustainable Use License</x:v>
      </x:c>
      <x:c r="H36" s="20" t="n">
        <x:v>200200</x:v>
      </x:c>
      <x:c r="I36" s="14" t="str">
        <x:v>Oui</x:v>
      </x:c>
      <x:c r="J36" s="14" t="str">
        <x:v>Très active</x:v>
      </x:c>
      <x:c r="K36" s="14" t="str">
        <x:v>2026-08-11</x:v>
      </x:c>
      <x:c r="L36" s="14" t="str">
        <x:v>Agents/workflows visuels, code, approvals, MCP, 1500+ intégrations</x:v>
      </x:c>
      <x:c r="M36" s="14" t="str">
        <x:v>Self-host / cloud</x:v>
      </x:c>
      <x:c r="N36" s="16" t="n">
        <x:v>0</x:v>
      </x:c>
      <x:c r="O36" s="16" t="n">
        <x:v>0.25</x:v>
      </x:c>
      <x:c r="P36" s="16" t="n">
        <x:v>1</x:v>
      </x:c>
      <x:c r="Q36" s="16" t="n">
        <x:v>0.25</x:v>
      </x:c>
      <x:c r="R36" s="16" t="n">
        <x:v>0.25</x:v>
      </x:c>
      <x:c r="S36" s="16" t="n">
        <x:v>1</x:v>
      </x:c>
      <x:c r="T36" s="16" t="n">
        <x:v>0.75</x:v>
      </x:c>
      <x:c r="U36" s="16" t="n">
        <x:v>1</x:v>
      </x:c>
      <x:c r="V36" s="16" t="n">
        <x:v>0.5</x:v>
      </x:c>
      <x:c r="W36" s="16" t="n">
        <x:v>1</x:v>
      </x:c>
      <x:c r="X36" s="18" t="n">
        <x:f>ROUND(N36*12+O36*14+P36*14+Q36*12+R36*8+S36*12+T36*8+U36*8+V36*6+W36*6,1)</x:f>
        <x:v>57.5</x:v>
      </x:c>
      <x:c r="Y36" s="14" t="str">
        <x:f>IF(D36="CORE",IF(X36&gt;=85,"CORE A+",IF(X36&gt;=75,"CORE A",IF(X36&gt;=65,"CORE B","CORE C"))),"JARVIS ORGAN")</x:f>
        <x:v>JARVIS ORGAN</x:v>
      </x:c>
      <x:c r="Z36" s="14" t="str">
        <x:v>Backbone d'actions et automatisations.</x:v>
      </x:c>
      <x:c r="AA36" s="14" t="str">
        <x:v>https://github.com/n8n-io/n8n</x:v>
      </x:c>
    </x:row>
    <x:row r="37">
      <x:c r="A37" s="14" t="n">
        <x:v>36</x:v>
      </x:c>
      <x:c r="B37" s="14" t="str">
        <x:v>AutoGen</x:v>
      </x:c>
      <x:c r="C37" s="14" t="str">
        <x:v>microsoft/autogen</x:v>
      </x:c>
      <x:c r="D37" s="14" t="str">
        <x:v>ORGAN</x:v>
      </x:c>
      <x:c r="E37" s="14" t="str">
        <x:v>Multi-agent framework</x:v>
      </x:c>
      <x:c r="F37" s="14" t="str">
        <x:v>OSS</x:v>
      </x:c>
      <x:c r="G37" s="14" t="str">
        <x:v>MIT</x:v>
      </x:c>
      <x:c r="H37" s="20"/>
      <x:c r="I37" s="14" t="str">
        <x:v>Non</x:v>
      </x:c>
      <x:c r="J37" s="14" t="str">
        <x:v>Maintenance</x:v>
      </x:c>
      <x:c r="K37" s="14" t="str">
        <x:v>2026-08-11</x:v>
      </x:c>
      <x:c r="L37" s="14" t="str">
        <x:v>Framework conversationnel multi-agent désormais en maintenance</x:v>
      </x:c>
      <x:c r="M37" s="14" t="str">
        <x:v>Local / serveur</x:v>
      </x:c>
      <x:c r="N37" s="16" t="n">
        <x:v>0</x:v>
      </x:c>
      <x:c r="O37" s="16" t="n">
        <x:v>0.5</x:v>
      </x:c>
      <x:c r="P37" s="16" t="n">
        <x:v>1</x:v>
      </x:c>
      <x:c r="Q37" s="16" t="n">
        <x:v>0.25</x:v>
      </x:c>
      <x:c r="R37" s="16" t="n">
        <x:v>0.25</x:v>
      </x:c>
      <x:c r="S37" s="16" t="n">
        <x:v>0.75</x:v>
      </x:c>
      <x:c r="T37" s="16" t="n">
        <x:v>1</x:v>
      </x:c>
      <x:c r="U37" s="16" t="n">
        <x:v>1</x:v>
      </x:c>
      <x:c r="V37" s="16" t="n">
        <x:v>0</x:v>
      </x:c>
      <x:c r="W37" s="16" t="n">
        <x:v>1</x:v>
      </x:c>
      <x:c r="X37" s="18" t="n">
        <x:f>ROUND(N37*12+O37*14+P37*14+Q37*12+R37*8+S37*12+T37*8+U37*8+V37*6+W37*6,1)</x:f>
        <x:v>57</x:v>
      </x:c>
      <x:c r="Y37" s="14" t="str">
        <x:f>IF(D37="CORE",IF(X37&gt;=85,"CORE A+",IF(X37&gt;=75,"CORE A",IF(X37&gt;=65,"CORE B","CORE C"))),"JARVIS ORGAN")</x:f>
        <x:v>JARVIS ORGAN</x:v>
      </x:c>
      <x:c r="Z37" s="14" t="str">
        <x:v>Référence historique ; éviter comme nouveau socle par défaut.</x:v>
      </x:c>
      <x:c r="AA37" s="14" t="str">
        <x:v>https://github.com/microsoft/autogen</x:v>
      </x:c>
    </x:row>
    <x:row r="38">
      <x:c r="A38" s="14" t="n">
        <x:v>37</x:v>
      </x:c>
      <x:c r="B38" s="14" t="str">
        <x:v>Pipecat</x:v>
      </x:c>
      <x:c r="C38" s="14" t="str">
        <x:v>pipecat-ai/pipecat</x:v>
      </x:c>
      <x:c r="D38" s="14" t="str">
        <x:v>ORGAN</x:v>
      </x:c>
      <x:c r="E38" s="14" t="str">
        <x:v>Realtime voice pipeline</x:v>
      </x:c>
      <x:c r="F38" s="14" t="str">
        <x:v>OSS</x:v>
      </x:c>
      <x:c r="G38" s="14" t="str">
        <x:v>BSD-2-Clause</x:v>
      </x:c>
      <x:c r="H38" s="20" t="n">
        <x:v>12600</x:v>
      </x:c>
      <x:c r="I38" s="14" t="str">
        <x:v>Oui</x:v>
      </x:c>
      <x:c r="J38" s="14" t="str">
        <x:v>Active</x:v>
      </x:c>
      <x:c r="K38" s="14" t="str">
        <x:v>2026-08-11</x:v>
      </x:c>
      <x:c r="L38" s="14" t="str">
        <x:v>Pipelines voix/multimodaux temps réel</x:v>
      </x:c>
      <x:c r="M38" s="14" t="str">
        <x:v>Serveur / edge</x:v>
      </x:c>
      <x:c r="N38" s="16" t="n">
        <x:v>1</x:v>
      </x:c>
      <x:c r="O38" s="16" t="n">
        <x:v>0.25</x:v>
      </x:c>
      <x:c r="P38" s="16" t="n">
        <x:v>0.75</x:v>
      </x:c>
      <x:c r="Q38" s="16" t="n">
        <x:v>0</x:v>
      </x:c>
      <x:c r="R38" s="16" t="n">
        <x:v>0.75</x:v>
      </x:c>
      <x:c r="S38" s="16" t="n">
        <x:v>0.5</x:v>
      </x:c>
      <x:c r="T38" s="16" t="n">
        <x:v>0.5</x:v>
      </x:c>
      <x:c r="U38" s="16" t="n">
        <x:v>0.75</x:v>
      </x:c>
      <x:c r="V38" s="16" t="n">
        <x:v>0.25</x:v>
      </x:c>
      <x:c r="W38" s="16" t="n">
        <x:v>1</x:v>
      </x:c>
      <x:c r="X38" s="18" t="n">
        <x:f>ROUND(N38*12+O38*14+P38*14+Q38*12+R38*8+S38*12+T38*8+U38*8+V38*6+W38*6,1)</x:f>
        <x:v>55.5</x:v>
      </x:c>
      <x:c r="Y38" s="14" t="str">
        <x:f>IF(D38="CORE",IF(X38&gt;=85,"CORE A+",IF(X38&gt;=75,"CORE A",IF(X38&gt;=65,"CORE B","CORE C"))),"JARVIS ORGAN")</x:f>
        <x:v>JARVIS ORGAN</x:v>
      </x:c>
      <x:c r="Z38" s="14" t="str">
        <x:v>Voix naturelle faible latence.</x:v>
      </x:c>
      <x:c r="AA38" s="14" t="str">
        <x:v>https://github.com/pipecat-ai/pipecat</x:v>
      </x:c>
    </x:row>
    <x:row r="39">
      <x:c r="A39" s="14" t="n">
        <x:v>38</x:v>
      </x:c>
      <x:c r="B39" s="14" t="str">
        <x:v>LiveKit Agents</x:v>
      </x:c>
      <x:c r="C39" s="14" t="str">
        <x:v>livekit/agents</x:v>
      </x:c>
      <x:c r="D39" s="14" t="str">
        <x:v>ORGAN</x:v>
      </x:c>
      <x:c r="E39" s="14" t="str">
        <x:v>Realtime voice/multimodal agents</x:v>
      </x:c>
      <x:c r="F39" s="14" t="str">
        <x:v>OSS</x:v>
      </x:c>
      <x:c r="G39" s="14" t="str">
        <x:v>Apache-2.0</x:v>
      </x:c>
      <x:c r="H39" s="20" t="n">
        <x:v>10700</x:v>
      </x:c>
      <x:c r="I39" s="14" t="str">
        <x:v>Oui</x:v>
      </x:c>
      <x:c r="J39" s="14" t="str">
        <x:v>Active</x:v>
      </x:c>
      <x:c r="K39" s="14" t="str">
        <x:v>2026-08-11</x:v>
      </x:c>
      <x:c r="L39" s="14" t="str">
        <x:v>STT/LLM/TTS, WebRTC, téléphonie, MCP</x:v>
      </x:c>
      <x:c r="M39" s="14" t="str">
        <x:v>Serveur / edge</x:v>
      </x:c>
      <x:c r="N39" s="16" t="n">
        <x:v>1</x:v>
      </x:c>
      <x:c r="O39" s="16" t="n">
        <x:v>0.25</x:v>
      </x:c>
      <x:c r="P39" s="16" t="n">
        <x:v>0.75</x:v>
      </x:c>
      <x:c r="Q39" s="16" t="n">
        <x:v>0</x:v>
      </x:c>
      <x:c r="R39" s="16" t="n">
        <x:v>0.75</x:v>
      </x:c>
      <x:c r="S39" s="16" t="n">
        <x:v>0.5</x:v>
      </x:c>
      <x:c r="T39" s="16" t="n">
        <x:v>0.25</x:v>
      </x:c>
      <x:c r="U39" s="16" t="n">
        <x:v>0.75</x:v>
      </x:c>
      <x:c r="V39" s="16" t="n">
        <x:v>0.25</x:v>
      </x:c>
      <x:c r="W39" s="16" t="n">
        <x:v>1</x:v>
      </x:c>
      <x:c r="X39" s="18" t="n">
        <x:f>ROUND(N39*12+O39*14+P39*14+Q39*12+R39*8+S39*12+T39*8+U39*8+V39*6+W39*6,1)</x:f>
        <x:v>53.5</x:v>
      </x:c>
      <x:c r="Y39" s="14" t="str">
        <x:f>IF(D39="CORE",IF(X39&gt;=85,"CORE A+",IF(X39&gt;=75,"CORE A",IF(X39&gt;=65,"CORE B","CORE C"))),"JARVIS ORGAN")</x:f>
        <x:v>JARVIS ORGAN</x:v>
      </x:c>
      <x:c r="Z39" s="14" t="str">
        <x:v>Couche conversationnelle temps réel.</x:v>
      </x:c>
      <x:c r="AA39" s="14" t="str">
        <x:v>https://github.com/livekit/agents</x:v>
      </x:c>
    </x:row>
    <x:row r="40">
      <x:c r="A40" s="14" t="n">
        <x:v>39</x:v>
      </x:c>
      <x:c r="B40" s="14" t="str">
        <x:v>computer-use-mcp</x:v>
      </x:c>
      <x:c r="C40" s="14" t="str">
        <x:v>zavora-ai/computer-use-mcp</x:v>
      </x:c>
      <x:c r="D40" s="14" t="str">
        <x:v>ORGAN</x:v>
      </x:c>
      <x:c r="E40" s="14" t="str">
        <x:v>MCP desktop control</x:v>
      </x:c>
      <x:c r="F40" s="14" t="str">
        <x:v>OSS</x:v>
      </x:c>
      <x:c r="G40" s="14" t="str">
        <x:v>MIT</x:v>
      </x:c>
      <x:c r="H40" s="20"/>
      <x:c r="I40" s="14" t="str">
        <x:v>Non</x:v>
      </x:c>
      <x:c r="J40" s="14" t="str">
        <x:v>Active</x:v>
      </x:c>
      <x:c r="K40" s="14" t="str">
        <x:v>2026-08-11</x:v>
      </x:c>
      <x:c r="L40" s="14" t="str">
        <x:v>MCP Rust : écran, souris, clavier, clipboard, apps</x:v>
      </x:c>
      <x:c r="M40" s="14" t="str">
        <x:v>Win / macOS / Linux</x:v>
      </x:c>
      <x:c r="N40" s="16" t="n">
        <x:v>0</x:v>
      </x:c>
      <x:c r="O40" s="16" t="n">
        <x:v>0</x:v>
      </x:c>
      <x:c r="P40" s="16" t="n">
        <x:v>1</x:v>
      </x:c>
      <x:c r="Q40" s="16" t="n">
        <x:v>1</x:v>
      </x:c>
      <x:c r="R40" s="16" t="n">
        <x:v>0.75</x:v>
      </x:c>
      <x:c r="S40" s="16" t="n">
        <x:v>0.5</x:v>
      </x:c>
      <x:c r="T40" s="16" t="n">
        <x:v>0</x:v>
      </x:c>
      <x:c r="U40" s="16" t="n">
        <x:v>1</x:v>
      </x:c>
      <x:c r="V40" s="16" t="n">
        <x:v>0</x:v>
      </x:c>
      <x:c r="W40" s="16" t="n">
        <x:v>1</x:v>
      </x:c>
      <x:c r="X40" s="18" t="n">
        <x:f>ROUND(N40*12+O40*14+P40*14+Q40*12+R40*8+S40*12+T40*8+U40*8+V40*6+W40*6,1)</x:f>
        <x:v>52</x:v>
      </x:c>
      <x:c r="Y40" s="14" t="str">
        <x:f>IF(D40="CORE",IF(X40&gt;=85,"CORE A+",IF(X40&gt;=75,"CORE A",IF(X40&gt;=65,"CORE B","CORE C"))),"JARVIS ORGAN")</x:f>
        <x:v>JARVIS ORGAN</x:v>
      </x:c>
      <x:c r="Z40" s="14" t="str">
        <x:v>Interface MCP standardisée vers le desktop.</x:v>
      </x:c>
      <x:c r="AA40" s="14" t="str">
        <x:v>https://github.com/zavora-ai/computer-use-mcp</x:v>
      </x:c>
    </x:row>
    <x:row r="41">
      <x:c r="A41" s="14" t="n">
        <x:v>40</x:v>
      </x:c>
      <x:c r="B41" s="14" t="str">
        <x:v>Home LLM</x:v>
      </x:c>
      <x:c r="C41" s="14" t="str">
        <x:v>acon96/home-llm</x:v>
      </x:c>
      <x:c r="D41" s="14" t="str">
        <x:v>ORGAN</x:v>
      </x:c>
      <x:c r="E41" s="14" t="str">
        <x:v>Local smart-home LLM</x:v>
      </x:c>
      <x:c r="F41" s="14" t="str">
        <x:v>OSS</x:v>
      </x:c>
      <x:c r="G41" s="14" t="str">
        <x:v>N/V</x:v>
      </x:c>
      <x:c r="H41" s="20"/>
      <x:c r="I41" s="14" t="str">
        <x:v>Non</x:v>
      </x:c>
      <x:c r="J41" s="14" t="str">
        <x:v>Active</x:v>
      </x:c>
      <x:c r="K41" s="14" t="str">
        <x:v>2026-08-11</x:v>
      </x:c>
      <x:c r="L41" s="14" t="str">
        <x:v>LLM local spécialisé Home Assistant</x:v>
      </x:c>
      <x:c r="M41" s="14" t="str">
        <x:v>Home Assistant / local</x:v>
      </x:c>
      <x:c r="N41" s="16" t="n">
        <x:v>0.5</x:v>
      </x:c>
      <x:c r="O41" s="16" t="n">
        <x:v>0.25</x:v>
      </x:c>
      <x:c r="P41" s="16" t="n">
        <x:v>1</x:v>
      </x:c>
      <x:c r="Q41" s="16" t="n">
        <x:v>0</x:v>
      </x:c>
      <x:c r="R41" s="16" t="n">
        <x:v>0</x:v>
      </x:c>
      <x:c r="S41" s="16" t="n">
        <x:v>0.75</x:v>
      </x:c>
      <x:c r="T41" s="16" t="n">
        <x:v>0</x:v>
      </x:c>
      <x:c r="U41" s="16" t="n">
        <x:v>1</x:v>
      </x:c>
      <x:c r="V41" s="16" t="n">
        <x:v>1</x:v>
      </x:c>
      <x:c r="W41" s="16" t="n">
        <x:v>0.75</x:v>
      </x:c>
      <x:c r="X41" s="18" t="n">
        <x:f>ROUND(N41*12+O41*14+P41*14+Q41*12+R41*8+S41*12+T41*8+U41*8+V41*6+W41*6,1)</x:f>
        <x:v>51</x:v>
      </x:c>
      <x:c r="Y41" s="14" t="str">
        <x:f>IF(D41="CORE",IF(X41&gt;=85,"CORE A+",IF(X41&gt;=75,"CORE A",IF(X41&gt;=65,"CORE B","CORE C"))),"JARVIS ORGAN")</x:f>
        <x:v>JARVIS ORGAN</x:v>
      </x:c>
      <x:c r="Z41" s="14" t="str">
        <x:v>Pont raisonnement local → actions domestiques.</x:v>
      </x:c>
      <x:c r="AA41" s="14" t="str">
        <x:v>https://github.com/acon96/home-llm</x:v>
      </x:c>
    </x:row>
    <x:row r="42">
      <x:c r="A42" s="14" t="n">
        <x:v>41</x:v>
      </x:c>
      <x:c r="B42" s="14" t="str">
        <x:v>Node-RED</x:v>
      </x:c>
      <x:c r="C42" s="14" t="str">
        <x:v>node-red/node-red</x:v>
      </x:c>
      <x:c r="D42" s="14" t="str">
        <x:v>ORGAN</x:v>
      </x:c>
      <x:c r="E42" s="14" t="str">
        <x:v>Event/IoT automation</x:v>
      </x:c>
      <x:c r="F42" s="14" t="str">
        <x:v>OSS</x:v>
      </x:c>
      <x:c r="G42" s="14" t="str">
        <x:v>Apache-2.0</x:v>
      </x:c>
      <x:c r="H42" s="20"/>
      <x:c r="I42" s="14" t="str">
        <x:v>Non</x:v>
      </x:c>
      <x:c r="J42" s="14" t="str">
        <x:v>Active</x:v>
      </x:c>
      <x:c r="K42" s="14" t="str">
        <x:v>2026-08-11</x:v>
      </x:c>
      <x:c r="L42" s="14" t="str">
        <x:v>Flux événementiels, IoT et intégrations edge</x:v>
      </x:c>
      <x:c r="M42" s="14" t="str">
        <x:v>Pi / serveur</x:v>
      </x:c>
      <x:c r="N42" s="16" t="n">
        <x:v>0</x:v>
      </x:c>
      <x:c r="O42" s="16" t="n">
        <x:v>0.25</x:v>
      </x:c>
      <x:c r="P42" s="16" t="n">
        <x:v>1</x:v>
      </x:c>
      <x:c r="Q42" s="16" t="n">
        <x:v>0</x:v>
      </x:c>
      <x:c r="R42" s="16" t="n">
        <x:v>0</x:v>
      </x:c>
      <x:c r="S42" s="16" t="n">
        <x:v>1</x:v>
      </x:c>
      <x:c r="T42" s="16" t="n">
        <x:v>0</x:v>
      </x:c>
      <x:c r="U42" s="16" t="n">
        <x:v>1</x:v>
      </x:c>
      <x:c r="V42" s="16" t="n">
        <x:v>1</x:v>
      </x:c>
      <x:c r="W42" s="16" t="n">
        <x:v>1</x:v>
      </x:c>
      <x:c r="X42" s="18" t="n">
        <x:f>ROUND(N42*12+O42*14+P42*14+Q42*12+R42*8+S42*12+T42*8+U42*8+V42*6+W42*6,1)</x:f>
        <x:v>49.5</x:v>
      </x:c>
      <x:c r="Y42" s="14" t="str">
        <x:f>IF(D42="CORE",IF(X42&gt;=85,"CORE A+",IF(X42&gt;=75,"CORE A",IF(X42&gt;=65,"CORE B","CORE C"))),"JARVIS ORGAN")</x:f>
        <x:v>JARVIS ORGAN</x:v>
      </x:c>
      <x:c r="Z42" s="14" t="str">
        <x:v>Automatisation physique/edge très robuste.</x:v>
      </x:c>
      <x:c r="AA42" s="14" t="str">
        <x:v>https://github.com/node-red/node-red</x:v>
      </x:c>
    </x:row>
    <x:row r="43">
      <x:c r="A43" s="14" t="n">
        <x:v>42</x:v>
      </x:c>
      <x:c r="B43" s="14" t="str">
        <x:v>Qwen Open Computer Use</x:v>
      </x:c>
      <x:c r="C43" s="14" t="str">
        <x:v>QwenLM/open-computer-use</x:v>
      </x:c>
      <x:c r="D43" s="14" t="str">
        <x:v>ORGAN</x:v>
      </x:c>
      <x:c r="E43" s="14" t="str">
        <x:v>Accessibility computer control</x:v>
      </x:c>
      <x:c r="F43" s="14" t="str">
        <x:v>OSS</x:v>
      </x:c>
      <x:c r="G43" s="14" t="str">
        <x:v>MIT</x:v>
      </x:c>
      <x:c r="H43" s="20" t="n">
        <x:v>194</x:v>
      </x:c>
      <x:c r="I43" s="14" t="str">
        <x:v>Oui</x:v>
      </x:c>
      <x:c r="J43" s="14" t="str">
        <x:v>Active</x:v>
      </x:c>
      <x:c r="K43" s="14" t="str">
        <x:v>2026-08-11</x:v>
      </x:c>
      <x:c r="L43" s="14" t="str">
        <x:v>MCP + APIs d'accessibilité pour GUI</x:v>
      </x:c>
      <x:c r="M43" s="14" t="str">
        <x:v>Win / macOS / Linux</x:v>
      </x:c>
      <x:c r="N43" s="16" t="n">
        <x:v>0</x:v>
      </x:c>
      <x:c r="O43" s="16" t="n">
        <x:v>0</x:v>
      </x:c>
      <x:c r="P43" s="16" t="n">
        <x:v>1</x:v>
      </x:c>
      <x:c r="Q43" s="16" t="n">
        <x:v>1</x:v>
      </x:c>
      <x:c r="R43" s="16" t="n">
        <x:v>0.5</x:v>
      </x:c>
      <x:c r="S43" s="16" t="n">
        <x:v>0.5</x:v>
      </x:c>
      <x:c r="T43" s="16" t="n">
        <x:v>0</x:v>
      </x:c>
      <x:c r="U43" s="16" t="n">
        <x:v>1</x:v>
      </x:c>
      <x:c r="V43" s="16" t="n">
        <x:v>0</x:v>
      </x:c>
      <x:c r="W43" s="16" t="n">
        <x:v>0.75</x:v>
      </x:c>
      <x:c r="X43" s="18" t="n">
        <x:f>ROUND(N43*12+O43*14+P43*14+Q43*12+R43*8+S43*12+T43*8+U43*8+V43*6+W43*6,1)</x:f>
        <x:v>48.5</x:v>
      </x:c>
      <x:c r="Y43" s="14" t="str">
        <x:f>IF(D43="CORE",IF(X43&gt;=85,"CORE A+",IF(X43&gt;=75,"CORE A",IF(X43&gt;=65,"CORE B","CORE C"))),"JARVIS ORGAN")</x:f>
        <x:v>JARVIS ORGAN</x:v>
      </x:c>
      <x:c r="Z43" s="14" t="str">
        <x:v>Backend GUI déterministe.</x:v>
      </x:c>
      <x:c r="AA43" s="14" t="str">
        <x:v>https://github.com/QwenLM/open-computer-use</x:v>
      </x:c>
    </x:row>
    <x:row r="44">
      <x:c r="A44" s="14" t="n">
        <x:v>43</x:v>
      </x:c>
      <x:c r="B44" s="14" t="str">
        <x:v>Cognee</x:v>
      </x:c>
      <x:c r="C44" s="14" t="str">
        <x:v>topoteretes/cognee</x:v>
      </x:c>
      <x:c r="D44" s="14" t="str">
        <x:v>ORGAN</x:v>
      </x:c>
      <x:c r="E44" s="14" t="str">
        <x:v>Agent memory control plane</x:v>
      </x:c>
      <x:c r="F44" s="14" t="str">
        <x:v>OSS</x:v>
      </x:c>
      <x:c r="G44" s="14" t="str">
        <x:v>N/V</x:v>
      </x:c>
      <x:c r="H44" s="20"/>
      <x:c r="I44" s="14" t="str">
        <x:v>Non</x:v>
      </x:c>
      <x:c r="J44" s="14" t="str">
        <x:v>Active</x:v>
      </x:c>
      <x:c r="K44" s="14" t="str">
        <x:v>2026-08-11</x:v>
      </x:c>
      <x:c r="L44" s="14" t="str">
        <x:v>Graph + vectors + pipelines cognitifs</x:v>
      </x:c>
      <x:c r="M44" s="14" t="str">
        <x:v>Local / serveur</x:v>
      </x:c>
      <x:c r="N44" s="16" t="n">
        <x:v>0</x:v>
      </x:c>
      <x:c r="O44" s="16" t="n">
        <x:v>1</x:v>
      </x:c>
      <x:c r="P44" s="16" t="n">
        <x:v>0.5</x:v>
      </x:c>
      <x:c r="Q44" s="16" t="n">
        <x:v>0</x:v>
      </x:c>
      <x:c r="R44" s="16" t="n">
        <x:v>0.25</x:v>
      </x:c>
      <x:c r="S44" s="16" t="n">
        <x:v>0.25</x:v>
      </x:c>
      <x:c r="T44" s="16" t="n">
        <x:v>0.75</x:v>
      </x:c>
      <x:c r="U44" s="16" t="n">
        <x:v>1</x:v>
      </x:c>
      <x:c r="V44" s="16" t="n">
        <x:v>0</x:v>
      </x:c>
      <x:c r="W44" s="16" t="n">
        <x:v>1</x:v>
      </x:c>
      <x:c r="X44" s="18" t="n">
        <x:f>ROUND(N44*12+O44*14+P44*14+Q44*12+R44*8+S44*12+T44*8+U44*8+V44*6+W44*6,1)</x:f>
        <x:v>46</x:v>
      </x:c>
      <x:c r="Y44" s="14" t="str">
        <x:f>IF(D44="CORE",IF(X44&gt;=85,"CORE A+",IF(X44&gt;=75,"CORE A",IF(X44&gt;=65,"CORE B","CORE C"))),"JARVIS ORGAN")</x:f>
        <x:v>JARVIS ORGAN</x:v>
      </x:c>
      <x:c r="Z44" s="14" t="str">
        <x:v>Alternative de memory layer partageable.</x:v>
      </x:c>
      <x:c r="AA44" s="14" t="str">
        <x:v>https://github.com/topoteretes/cognee</x:v>
      </x:c>
    </x:row>
    <x:row r="45">
      <x:c r="A45" s="14" t="n">
        <x:v>44</x:v>
      </x:c>
      <x:c r="B45" s="14" t="str">
        <x:v>E2B Open Computer Use</x:v>
      </x:c>
      <x:c r="C45" s="14" t="str">
        <x:v>e2b-dev/open-computer-use</x:v>
      </x:c>
      <x:c r="D45" s="14" t="str">
        <x:v>ORGAN</x:v>
      </x:c>
      <x:c r="E45" s="14" t="str">
        <x:v>Computer use sandbox</x:v>
      </x:c>
      <x:c r="F45" s="14" t="str">
        <x:v>OSS</x:v>
      </x:c>
      <x:c r="G45" s="14" t="str">
        <x:v>Apache-2.0</x:v>
      </x:c>
      <x:c r="H45" s="20" t="n">
        <x:v>2200</x:v>
      </x:c>
      <x:c r="I45" s="14" t="str">
        <x:v>Oui</x:v>
      </x:c>
      <x:c r="J45" s="14" t="str">
        <x:v>Active</x:v>
      </x:c>
      <x:c r="K45" s="14" t="str">
        <x:v>2026-08-11</x:v>
      </x:c>
      <x:c r="L45" s="14" t="str">
        <x:v>Sandbox Linux : clavier, souris, shell et streaming</x:v>
      </x:c>
      <x:c r="M45" s="14" t="str">
        <x:v>Cloud sandbox</x:v>
      </x:c>
      <x:c r="N45" s="16" t="n">
        <x:v>0</x:v>
      </x:c>
      <x:c r="O45" s="16" t="n">
        <x:v>0</x:v>
      </x:c>
      <x:c r="P45" s="16" t="n">
        <x:v>0.75</x:v>
      </x:c>
      <x:c r="Q45" s="16" t="n">
        <x:v>1</x:v>
      </x:c>
      <x:c r="R45" s="16" t="n">
        <x:v>1</x:v>
      </x:c>
      <x:c r="S45" s="16" t="n">
        <x:v>0.75</x:v>
      </x:c>
      <x:c r="T45" s="16" t="n">
        <x:v>0.25</x:v>
      </x:c>
      <x:c r="U45" s="16" t="n">
        <x:v>0</x:v>
      </x:c>
      <x:c r="V45" s="16" t="n">
        <x:v>0</x:v>
      </x:c>
      <x:c r="W45" s="16" t="n">
        <x:v>0.75</x:v>
      </x:c>
      <x:c r="X45" s="18" t="n">
        <x:f>ROUND(N45*12+O45*14+P45*14+Q45*12+R45*8+S45*12+T45*8+U45*8+V45*6+W45*6,1)</x:f>
        <x:v>46</x:v>
      </x:c>
      <x:c r="Y45" s="14" t="str">
        <x:f>IF(D45="CORE",IF(X45&gt;=85,"CORE A+",IF(X45&gt;=75,"CORE A",IF(X45&gt;=65,"CORE B","CORE C"))),"JARVIS ORGAN")</x:f>
        <x:v>JARVIS ORGAN</x:v>
      </x:c>
      <x:c r="Z45" s="14" t="str">
        <x:v>Isolation forte pour GUI risquée.</x:v>
      </x:c>
      <x:c r="AA45" s="14" t="str">
        <x:v>https://github.com/e2b-dev/open-computer-use</x:v>
      </x:c>
    </x:row>
    <x:row r="46">
      <x:c r="A46" s="14" t="n">
        <x:v>45</x:v>
      </x:c>
      <x:c r="B46" s="14" t="str">
        <x:v>Graphiti</x:v>
      </x:c>
      <x:c r="C46" s="14" t="str">
        <x:v>getzep/graphiti</x:v>
      </x:c>
      <x:c r="D46" s="14" t="str">
        <x:v>ORGAN</x:v>
      </x:c>
      <x:c r="E46" s="14" t="str">
        <x:v>Temporal graph memory</x:v>
      </x:c>
      <x:c r="F46" s="14" t="str">
        <x:v>OSS</x:v>
      </x:c>
      <x:c r="G46" s="14" t="str">
        <x:v>Apache-2.0</x:v>
      </x:c>
      <x:c r="H46" s="20" t="n">
        <x:v>26700</x:v>
      </x:c>
      <x:c r="I46" s="14" t="str">
        <x:v>Oui</x:v>
      </x:c>
      <x:c r="J46" s="14" t="str">
        <x:v>Active</x:v>
      </x:c>
      <x:c r="K46" s="14" t="str">
        <x:v>2026-08-11</x:v>
      </x:c>
      <x:c r="L46" s="14" t="str">
        <x:v>Knowledge graph temporel pour contexte, provenance et mémoire</x:v>
      </x:c>
      <x:c r="M46" s="14" t="str">
        <x:v>Serveur / DB</x:v>
      </x:c>
      <x:c r="N46" s="16" t="n">
        <x:v>0</x:v>
      </x:c>
      <x:c r="O46" s="16" t="n">
        <x:v>1</x:v>
      </x:c>
      <x:c r="P46" s="16" t="n">
        <x:v>0.5</x:v>
      </x:c>
      <x:c r="Q46" s="16" t="n">
        <x:v>0</x:v>
      </x:c>
      <x:c r="R46" s="16" t="n">
        <x:v>0</x:v>
      </x:c>
      <x:c r="S46" s="16" t="n">
        <x:v>0.25</x:v>
      </x:c>
      <x:c r="T46" s="16" t="n">
        <x:v>0.75</x:v>
      </x:c>
      <x:c r="U46" s="16" t="n">
        <x:v>1</x:v>
      </x:c>
      <x:c r="V46" s="16" t="n">
        <x:v>0</x:v>
      </x:c>
      <x:c r="W46" s="16" t="n">
        <x:v>0.75</x:v>
      </x:c>
      <x:c r="X46" s="18" t="n">
        <x:f>ROUND(N46*12+O46*14+P46*14+Q46*12+R46*8+S46*12+T46*8+U46*8+V46*6+W46*6,1)</x:f>
        <x:v>42.5</x:v>
      </x:c>
      <x:c r="Y46" s="14" t="str">
        <x:f>IF(D46="CORE",IF(X46&gt;=85,"CORE A+",IF(X46&gt;=75,"CORE A",IF(X46&gt;=65,"CORE B","CORE C"))),"JARVIS ORGAN")</x:f>
        <x:v>JARVIS ORGAN</x:v>
      </x:c>
      <x:c r="Z46" s="14" t="str">
        <x:v>Mémoire relationnelle et temporelle de type JARVIS.</x:v>
      </x:c>
      <x:c r="AA46" s="14" t="str">
        <x:v>https://github.com/getzep/graphiti</x:v>
      </x:c>
    </x:row>
    <x:row r="47">
      <x:c r="A47" s="14" t="n">
        <x:v>46</x:v>
      </x:c>
      <x:c r="B47" s="14" t="str">
        <x:v>Mem0</x:v>
      </x:c>
      <x:c r="C47" s="14" t="str">
        <x:v>mem0ai/mem0</x:v>
      </x:c>
      <x:c r="D47" s="14" t="str">
        <x:v>ORGAN</x:v>
      </x:c>
      <x:c r="E47" s="14" t="str">
        <x:v>Memory layer</x:v>
      </x:c>
      <x:c r="F47" s="14" t="str">
        <x:v>OSS</x:v>
      </x:c>
      <x:c r="G47" s="14" t="str">
        <x:v>Apache-2.0</x:v>
      </x:c>
      <x:c r="H47" s="20" t="n">
        <x:v>56891</x:v>
      </x:c>
      <x:c r="I47" s="14" t="str">
        <x:v>Oui</x:v>
      </x:c>
      <x:c r="J47" s="14" t="str">
        <x:v>Active</x:v>
      </x:c>
      <x:c r="K47" s="14" t="str">
        <x:v>2026-08-11</x:v>
      </x:c>
      <x:c r="L47" s="14" t="str">
        <x:v>Mémoire universelle multi-niveaux pour agents/utilisateurs</x:v>
      </x:c>
      <x:c r="M47" s="14" t="str">
        <x:v>Local / serveur</x:v>
      </x:c>
      <x:c r="N47" s="16" t="n">
        <x:v>0</x:v>
      </x:c>
      <x:c r="O47" s="16" t="n">
        <x:v>1</x:v>
      </x:c>
      <x:c r="P47" s="16" t="n">
        <x:v>0.25</x:v>
      </x:c>
      <x:c r="Q47" s="16" t="n">
        <x:v>0</x:v>
      </x:c>
      <x:c r="R47" s="16" t="n">
        <x:v>0</x:v>
      </x:c>
      <x:c r="S47" s="16" t="n">
        <x:v>0.25</x:v>
      </x:c>
      <x:c r="T47" s="16" t="n">
        <x:v>0.75</x:v>
      </x:c>
      <x:c r="U47" s="16" t="n">
        <x:v>1</x:v>
      </x:c>
      <x:c r="V47" s="16" t="n">
        <x:v>0</x:v>
      </x:c>
      <x:c r="W47" s="16" t="n">
        <x:v>0.75</x:v>
      </x:c>
      <x:c r="X47" s="18" t="n">
        <x:f>ROUND(N47*12+O47*14+P47*14+Q47*12+R47*8+S47*12+T47*8+U47*8+V47*6+W47*6,1)</x:f>
        <x:v>39</x:v>
      </x:c>
      <x:c r="Y47" s="14" t="str">
        <x:f>IF(D47="CORE",IF(X47&gt;=85,"CORE A+",IF(X47&gt;=75,"CORE A",IF(X47&gt;=65,"CORE B","CORE C"))),"JARVIS ORGAN")</x:f>
        <x:v>JARVIS ORGAN</x:v>
      </x:c>
      <x:c r="Z47" s="14" t="str">
        <x:v>Mémoire personnelle portable entre agents.</x:v>
      </x:c>
      <x:c r="AA47" s="14" t="str">
        <x:v>https://github.com/mem0ai/mem0</x:v>
      </x:c>
    </x:row>
    <x:row r="48">
      <x:c r="A48" s="14" t="n">
        <x:v>47</x:v>
      </x:c>
      <x:c r="B48" s="14" t="str">
        <x:v>Ollama</x:v>
      </x:c>
      <x:c r="C48" s="14" t="str">
        <x:v>ollama/ollama</x:v>
      </x:c>
      <x:c r="D48" s="14" t="str">
        <x:v>ORGAN</x:v>
      </x:c>
      <x:c r="E48" s="14" t="str">
        <x:v>Local model runtime</x:v>
      </x:c>
      <x:c r="F48" s="14" t="str">
        <x:v>OSS</x:v>
      </x:c>
      <x:c r="G48" s="14" t="str">
        <x:v>MIT</x:v>
      </x:c>
      <x:c r="H48" s="20"/>
      <x:c r="I48" s="14" t="str">
        <x:v>Non</x:v>
      </x:c>
      <x:c r="J48" s="14" t="str">
        <x:v>Très active</x:v>
      </x:c>
      <x:c r="K48" s="14" t="str">
        <x:v>2026-08-11</x:v>
      </x:c>
      <x:c r="L48" s="14" t="str">
        <x:v>Runtime local LLM/VLM avec API simple</x:v>
      </x:c>
      <x:c r="M48" s="14" t="str">
        <x:v>Desktop / serveur / GPU</x:v>
      </x:c>
      <x:c r="N48" s="16" t="n">
        <x:v>0</x:v>
      </x:c>
      <x:c r="O48" s="16" t="n">
        <x:v>0</x:v>
      </x:c>
      <x:c r="P48" s="16" t="n">
        <x:v>0.5</x:v>
      </x:c>
      <x:c r="Q48" s="16" t="n">
        <x:v>0</x:v>
      </x:c>
      <x:c r="R48" s="16" t="n">
        <x:v>0.75</x:v>
      </x:c>
      <x:c r="S48" s="16" t="n">
        <x:v>0</x:v>
      </x:c>
      <x:c r="T48" s="16" t="n">
        <x:v>0</x:v>
      </x:c>
      <x:c r="U48" s="16" t="n">
        <x:v>1</x:v>
      </x:c>
      <x:c r="V48" s="16" t="n">
        <x:v>0</x:v>
      </x:c>
      <x:c r="W48" s="16" t="n">
        <x:v>1</x:v>
      </x:c>
      <x:c r="X48" s="18" t="n">
        <x:f>ROUND(N48*12+O48*14+P48*14+Q48*12+R48*8+S48*12+T48*8+U48*8+V48*6+W48*6,1)</x:f>
        <x:v>27</x:v>
      </x:c>
      <x:c r="Y48" s="14" t="str">
        <x:f>IF(D48="CORE",IF(X48&gt;=85,"CORE A+",IF(X48&gt;=75,"CORE A",IF(X48&gt;=65,"CORE B","CORE C"))),"JARVIS ORGAN")</x:f>
        <x:v>JARVIS ORGAN</x:v>
      </x:c>
      <x:c r="Z48" s="14" t="str">
        <x:v>Moteur local et fallback souverain.</x:v>
      </x:c>
      <x:c r="AA48" s="14" t="str">
        <x:v>https://github.com/ollama/ollama</x:v>
      </x:c>
    </x:row>
    <x:row r="49">
      <x:c r="A49" s="14" t="n">
        <x:v>48</x:v>
      </x:c>
      <x:c r="B49" s="14" t="str">
        <x:v>openWakeWord</x:v>
      </x:c>
      <x:c r="C49" s="14" t="str">
        <x:v>dscripka/openWakeWord</x:v>
      </x:c>
      <x:c r="D49" s="14" t="str">
        <x:v>ORGAN</x:v>
      </x:c>
      <x:c r="E49" s="14" t="str">
        <x:v>Wake word</x:v>
      </x:c>
      <x:c r="F49" s="14" t="str">
        <x:v>OSS code / modèles restrictifs</x:v>
      </x:c>
      <x:c r="G49" s="14" t="str">
        <x:v>Apache-2.0 code; modèles CC BY-NC-SA</x:v>
      </x:c>
      <x:c r="H49" s="20" t="n">
        <x:v>2300</x:v>
      </x:c>
      <x:c r="I49" s="14" t="str">
        <x:v>Oui</x:v>
      </x:c>
      <x:c r="J49" s="14" t="str">
        <x:v>Communauté active / release ancienne</x:v>
      </x:c>
      <x:c r="K49" s="14" t="str">
        <x:v>2026-08-11</x:v>
      </x:c>
      <x:c r="L49" s="14" t="str">
        <x:v>Wake-word local, modèle 'hey jarvis'</x:v>
      </x:c>
      <x:c r="M49" s="14" t="str">
        <x:v>CPU / Raspberry Pi</x:v>
      </x:c>
      <x:c r="N49" s="16" t="n">
        <x:v>1</x:v>
      </x:c>
      <x:c r="O49" s="16" t="n">
        <x:v>0</x:v>
      </x:c>
      <x:c r="P49" s="16" t="n">
        <x:v>0</x:v>
      </x:c>
      <x:c r="Q49" s="16" t="n">
        <x:v>0</x:v>
      </x:c>
      <x:c r="R49" s="16" t="n">
        <x:v>0</x:v>
      </x:c>
      <x:c r="S49" s="16" t="n">
        <x:v>0</x:v>
      </x:c>
      <x:c r="T49" s="16" t="n">
        <x:v>0</x:v>
      </x:c>
      <x:c r="U49" s="16" t="n">
        <x:v>1</x:v>
      </x:c>
      <x:c r="V49" s="16" t="n">
        <x:v>0.25</x:v>
      </x:c>
      <x:c r="W49" s="16" t="n">
        <x:v>0.75</x:v>
      </x:c>
      <x:c r="X49" s="18" t="n">
        <x:f>ROUND(N49*12+O49*14+P49*14+Q49*12+R49*8+S49*12+T49*8+U49*8+V49*6+W49*6,1)</x:f>
        <x:v>26</x:v>
      </x:c>
      <x:c r="Y49" s="14" t="str">
        <x:f>IF(D49="CORE",IF(X49&gt;=85,"CORE A+",IF(X49&gt;=75,"CORE A",IF(X49&gt;=65,"CORE B","CORE C"))),"JARVIS ORGAN")</x:f>
        <x:v>JARVIS ORGAN</x:v>
      </x:c>
      <x:c r="Z49" s="14" t="str">
        <x:v>Oreille always-on de Jarvis.</x:v>
      </x:c>
      <x:c r="AA49" s="14" t="str">
        <x:v>https://github.com/dscripka/openWakeWord</x:v>
      </x:c>
    </x:row>
    <x:row r="50">
      <x:c r="A50" s="14" t="n">
        <x:v>49</x:v>
      </x:c>
      <x:c r="B50" s="14" t="str">
        <x:v>Piper</x:v>
      </x:c>
      <x:c r="C50" s="14" t="str">
        <x:v>OHF-Voice/piper1-gpl</x:v>
      </x:c>
      <x:c r="D50" s="14" t="str">
        <x:v>ORGAN</x:v>
      </x:c>
      <x:c r="E50" s="14" t="str">
        <x:v>Local TTS</x:v>
      </x:c>
      <x:c r="F50" s="14" t="str">
        <x:v>OSS</x:v>
      </x:c>
      <x:c r="G50" s="14" t="str">
        <x:v>GPL-3.0</x:v>
      </x:c>
      <x:c r="H50" s="20" t="n">
        <x:v>4200</x:v>
      </x:c>
      <x:c r="I50" s="14" t="str">
        <x:v>Oui</x:v>
      </x:c>
      <x:c r="J50" s="14" t="str">
        <x:v>Active</x:v>
      </x:c>
      <x:c r="K50" s="14" t="str">
        <x:v>2026-08-11</x:v>
      </x:c>
      <x:c r="L50" s="14" t="str">
        <x:v>TTS neural rapide et local</x:v>
      </x:c>
      <x:c r="M50" s="14" t="str">
        <x:v>CPU / edge</x:v>
      </x:c>
      <x:c r="N50" s="16" t="n">
        <x:v>1</x:v>
      </x:c>
      <x:c r="O50" s="16" t="n">
        <x:v>0</x:v>
      </x:c>
      <x:c r="P50" s="16" t="n">
        <x:v>0</x:v>
      </x:c>
      <x:c r="Q50" s="16" t="n">
        <x:v>0</x:v>
      </x:c>
      <x:c r="R50" s="16" t="n">
        <x:v>0</x:v>
      </x:c>
      <x:c r="S50" s="16" t="n">
        <x:v>0</x:v>
      </x:c>
      <x:c r="T50" s="16" t="n">
        <x:v>0</x:v>
      </x:c>
      <x:c r="U50" s="16" t="n">
        <x:v>1</x:v>
      </x:c>
      <x:c r="V50" s="16" t="n">
        <x:v>0</x:v>
      </x:c>
      <x:c r="W50" s="16" t="n">
        <x:v>0.75</x:v>
      </x:c>
      <x:c r="X50" s="18" t="n">
        <x:f>ROUND(N50*12+O50*14+P50*14+Q50*12+R50*8+S50*12+T50*8+U50*8+V50*6+W50*6,1)</x:f>
        <x:v>24.5</x:v>
      </x:c>
      <x:c r="Y50" s="14" t="str">
        <x:f>IF(D50="CORE",IF(X50&gt;=85,"CORE A+",IF(X50&gt;=75,"CORE A",IF(X50&gt;=65,"CORE B","CORE C"))),"JARVIS ORGAN")</x:f>
        <x:v>JARVIS ORGAN</x:v>
      </x:c>
      <x:c r="Z50" s="14" t="str">
        <x:v>Voix locale hors cloud.</x:v>
      </x:c>
      <x:c r="AA50" s="14" t="str">
        <x:v>https://github.com/OHF-Voice/piper1-gpl</x:v>
      </x:c>
    </x:row>
    <x:row r="51">
      <x:c r="A51" s="14" t="n">
        <x:v>50</x:v>
      </x:c>
      <x:c r="B51" s="14" t="str">
        <x:v>whisper.cpp</x:v>
      </x:c>
      <x:c r="C51" s="14" t="str">
        <x:v>ggml-org/whisper.cpp</x:v>
      </x:c>
      <x:c r="D51" s="14" t="str">
        <x:v>ORGAN</x:v>
      </x:c>
      <x:c r="E51" s="14" t="str">
        <x:v>Local STT</x:v>
      </x:c>
      <x:c r="F51" s="14" t="str">
        <x:v>OSS</x:v>
      </x:c>
      <x:c r="G51" s="14" t="str">
        <x:v>MIT</x:v>
      </x:c>
      <x:c r="H51" s="20"/>
      <x:c r="I51" s="14" t="str">
        <x:v>Non</x:v>
      </x:c>
      <x:c r="J51" s="14" t="str">
        <x:v>Active</x:v>
      </x:c>
      <x:c r="K51" s="14" t="str">
        <x:v>2026-08-11</x:v>
      </x:c>
      <x:c r="L51" s="14" t="str">
        <x:v>Whisper C/C++ optimisé localement</x:v>
      </x:c>
      <x:c r="M51" s="14" t="str">
        <x:v>CPU / GPU / mobile</x:v>
      </x:c>
      <x:c r="N51" s="16" t="n">
        <x:v>1</x:v>
      </x:c>
      <x:c r="O51" s="16" t="n">
        <x:v>0</x:v>
      </x:c>
      <x:c r="P51" s="16" t="n">
        <x:v>0</x:v>
      </x:c>
      <x:c r="Q51" s="16" t="n">
        <x:v>0</x:v>
      </x:c>
      <x:c r="R51" s="16" t="n">
        <x:v>0</x:v>
      </x:c>
      <x:c r="S51" s="16" t="n">
        <x:v>0</x:v>
      </x:c>
      <x:c r="T51" s="16" t="n">
        <x:v>0</x:v>
      </x:c>
      <x:c r="U51" s="16" t="n">
        <x:v>1</x:v>
      </x:c>
      <x:c r="V51" s="16" t="n">
        <x:v>0</x:v>
      </x:c>
      <x:c r="W51" s="16" t="n">
        <x:v>0.75</x:v>
      </x:c>
      <x:c r="X51" s="18" t="n">
        <x:f>ROUND(N51*12+O51*14+P51*14+Q51*12+R51*8+S51*12+T51*8+U51*8+V51*6+W51*6,1)</x:f>
        <x:v>24.5</x:v>
      </x:c>
      <x:c r="Y51" s="14" t="str">
        <x:f>IF(D51="CORE",IF(X51&gt;=85,"CORE A+",IF(X51&gt;=75,"CORE A",IF(X51&gt;=65,"CORE B","CORE C"))),"JARVIS ORGAN")</x:f>
        <x:v>JARVIS ORGAN</x:v>
      </x:c>
      <x:c r="Z51" s="14" t="str">
        <x:v>Oreille STT locale multiplateforme.</x:v>
      </x:c>
      <x:c r="AA51" s="14" t="str">
        <x:v>https://github.com/ggml-org/whisper.cpp</x:v>
      </x:c>
    </x:row>
  </x:sheetData>
  <x:conditionalFormatting sqref="X2:X5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D2:D51">
    <x:cfRule type="expression" dxfId="0" priority="2">
      <x:formula>D2="CORE"</x:formula>
    </x:cfRule>
  </x:conditionalFormatting>
  <x:conditionalFormatting sqref="F2:F51">
    <x:cfRule type="expression" dxfId="1" priority="3">
      <x:formula>F2="OSS"</x:formula>
    </x:cfRule>
  </x:conditionalFormatting>
  <x:conditionalFormatting sqref="I2:I51">
    <x:cfRule type="expression" dxfId="2" priority="4">
      <x:formula>I2="Non"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032177e8324a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0" hidden="0" customWidth="1"/>
    <x:col min="4" max="4" width="27" hidden="0" customWidth="1"/>
    <x:col min="5" max="5" width="36" hidden="0" customWidth="1"/>
    <x:col min="6" max="6" width="32" hidden="0" customWidth="1"/>
    <x:col min="7" max="7" width="44" hidden="0" customWidth="1"/>
  </x:cols>
  <x:sheetData>
    <x:row r="1" ht="32" customHeight="1">
      <x:c r="A1" s="65" t="str">
        <x:v>Shortlist — composants à auditer en priorité</x:v>
      </x:c>
      <x:c r="B1" s="65"/>
      <x:c r="C1" s="65"/>
      <x:c r="D1" s="65"/>
      <x:c r="E1" s="65"/>
      <x:c r="F1" s="65"/>
      <x:c r="G1" s="65"/>
    </x:row>
    <x:row r="3">
      <x:c r="A3" s="35" t="str">
        <x:v>Priority</x:v>
      </x:c>
      <x:c r="B3" s="35" t="str">
        <x:v>Project</x:v>
      </x:c>
      <x:c r="C3" s="35" t="str">
        <x:v>Score</x:v>
      </x:c>
      <x:c r="D3" s="35" t="str">
        <x:v>Type</x:v>
      </x:c>
      <x:c r="E3" s="35" t="str">
        <x:v>Action recommandée</x:v>
      </x:c>
      <x:c r="F3" s="35" t="str">
        <x:v>Risque principal</x:v>
      </x:c>
      <x:c r="G3" s="35" t="str">
        <x:v>Source</x:v>
      </x:c>
    </x:row>
    <x:row r="4">
      <x:c r="A4" s="12" t="n">
        <x:v>1</x:v>
      </x:c>
      <x:c r="B4" s="12" t="str">
        <x:v>Row-Bot</x:v>
      </x:c>
      <x:c r="C4" s="12" t="n">
        <x:v>95.5</x:v>
      </x:c>
      <x:c r="D4" s="12" t="str">
        <x:v>Local-first personal AI</x:v>
      </x:c>
      <x:c r="E4" s="12" t="str">
        <x:v>Cloner + audit + test local</x:v>
      </x:c>
      <x:c r="F4" s="12" t="str">
        <x:v>Sécurité/intégration à valider</x:v>
      </x:c>
      <x:c r="G4" s="12" t="str">
        <x:v>https://github.com/siddsachar/row-bot</x:v>
      </x:c>
    </x:row>
    <x:row r="5">
      <x:c r="A5" s="12" t="n">
        <x:v>2</x:v>
      </x:c>
      <x:c r="B5" s="12" t="str">
        <x:v>OpenClaw</x:v>
      </x:c>
      <x:c r="C5" s="12" t="n">
        <x:v>88</x:v>
      </x:c>
      <x:c r="D5" s="12" t="str">
        <x:v>Personal AI / Agent OS</x:v>
      </x:c>
      <x:c r="E5" s="12" t="str">
        <x:v>Cloner + audit + test local</x:v>
      </x:c>
      <x:c r="F5" s="12" t="str">
        <x:v>Licence non-standard</x:v>
      </x:c>
      <x:c r="G5" s="12" t="str">
        <x:v>https://github.com/openclaw/openclaw</x:v>
      </x:c>
    </x:row>
    <x:row r="6">
      <x:c r="A6" s="12" t="n">
        <x:v>3</x:v>
      </x:c>
      <x:c r="B6" s="12" t="str">
        <x:v>Hermes Agent</x:v>
      </x:c>
      <x:c r="C6" s="12" t="n">
        <x:v>84</x:v>
      </x:c>
      <x:c r="D6" s="12" t="str">
        <x:v>Self-improving personal agent</x:v>
      </x:c>
      <x:c r="E6" s="12" t="str">
        <x:v>Cloner + audit + test local</x:v>
      </x:c>
      <x:c r="F6" s="12" t="str">
        <x:v>Sécurité/intégration à valider</x:v>
      </x:c>
      <x:c r="G6" s="12" t="str">
        <x:v>https://github.com/NousResearch/hermes-agent</x:v>
      </x:c>
    </x:row>
    <x:row r="7">
      <x:c r="A7" s="12" t="n">
        <x:v>4</x:v>
      </x:c>
      <x:c r="B7" s="12" t="str">
        <x:v>OpenJarvis</x:v>
      </x:c>
      <x:c r="C7" s="12" t="n">
        <x:v>79.5</x:v>
      </x:c>
      <x:c r="D7" s="12" t="str">
        <x:v>Personal AI framework</x:v>
      </x:c>
      <x:c r="E7" s="12" t="str">
        <x:v>Cloner + audit + test local</x:v>
      </x:c>
      <x:c r="F7" s="12" t="str">
        <x:v>Sécurité/intégration à valider</x:v>
      </x:c>
      <x:c r="G7" s="12" t="str">
        <x:v>https://github.com/open-jarvis/OpenJarvis</x:v>
      </x:c>
    </x:row>
    <x:row r="8">
      <x:c r="A8" s="12" t="n">
        <x:v>5</x:v>
      </x:c>
      <x:c r="B8" s="12" t="str">
        <x:v>D.A.W.N.</x:v>
      </x:c>
      <x:c r="C8" s="12" t="n">
        <x:v>78</x:v>
      </x:c>
      <x:c r="D8" s="12" t="str">
        <x:v>Embedded JARVIS / smart home</x:v>
      </x:c>
      <x:c r="E8" s="12" t="str">
        <x:v>Tester couche voix/physique</x:v>
      </x:c>
      <x:c r="F8" s="12" t="str">
        <x:v>Projet jeune</x:v>
      </x:c>
      <x:c r="G8" s="12" t="str">
        <x:v>https://github.com/The-OASIS-Project/dawn</x:v>
      </x:c>
    </x:row>
    <x:row r="9">
      <x:c r="A9" s="12" t="n">
        <x:v>6</x:v>
      </x:c>
      <x:c r="B9" s="12" t="str">
        <x:v>Agent Zero</x:v>
      </x:c>
      <x:c r="C9" s="12" t="n">
        <x:v>82</x:v>
      </x:c>
      <x:c r="D9" s="12" t="str">
        <x:v>Autonomous Agent OS</x:v>
      </x:c>
      <x:c r="E9" s="12" t="str">
        <x:v>Benchmark computer-use</x:v>
      </x:c>
      <x:c r="F9" s="12" t="str">
        <x:v>Sécurité/intégration à valider</x:v>
      </x:c>
      <x:c r="G9" s="12" t="str">
        <x:v>https://github.com/agent0ai/agent-zero</x:v>
      </x:c>
    </x:row>
    <x:row r="10">
      <x:c r="A10" s="12" t="n">
        <x:v>7</x:v>
      </x:c>
      <x:c r="B10" s="12" t="str">
        <x:v>Jarvis (isair)</x:v>
      </x:c>
      <x:c r="C10" s="12" t="n">
        <x:v>80.5</x:v>
      </x:c>
      <x:c r="D10" s="12" t="str">
        <x:v>Voice-first personal AI</x:v>
      </x:c>
      <x:c r="E10" s="12" t="str">
        <x:v>Benchmark computer-use</x:v>
      </x:c>
      <x:c r="F10" s="12" t="str">
        <x:v>Licence commerciale restrictive</x:v>
      </x:c>
      <x:c r="G10" s="12" t="str">
        <x:v>https://github.com/isair/jarvis</x:v>
      </x:c>
    </x:row>
    <x:row r="11">
      <x:c r="A11" s="12" t="n">
        <x:v>8</x:v>
      </x:c>
      <x:c r="B11" s="12" t="str">
        <x:v>Moltis</x:v>
      </x:c>
      <x:c r="C11" s="12" t="n">
        <x:v>75</x:v>
      </x:c>
      <x:c r="D11" s="12" t="str">
        <x:v>Persistent personal agent server</x:v>
      </x:c>
      <x:c r="E11" s="12" t="str">
        <x:v>Tester intégration MCP/n8n</x:v>
      </x:c>
      <x:c r="F11" s="12" t="str">
        <x:v>Sécurité/intégration à valider</x:v>
      </x:c>
      <x:c r="G11" s="12" t="str">
        <x:v>https://github.com/moltis-org/moltis</x:v>
      </x:c>
    </x:row>
    <x:row r="12">
      <x:c r="A12" s="12" t="n">
        <x:v>9</x:v>
      </x:c>
      <x:c r="B12" s="12" t="str">
        <x:v>CAAL</x:v>
      </x:c>
      <x:c r="C12" s="12" t="n">
        <x:v>67</x:v>
      </x:c>
      <x:c r="D12" s="12" t="str">
        <x:v>Voice + n8n + Home Assistant</x:v>
      </x:c>
      <x:c r="E12" s="12" t="str">
        <x:v>Tester couche voix/physique</x:v>
      </x:c>
      <x:c r="F12" s="12" t="str">
        <x:v>Infra/GPU selon configuration</x:v>
      </x:c>
      <x:c r="G12" s="12" t="str">
        <x:v>https://github.com/CoreWorxLab/CAAL</x:v>
      </x:c>
    </x:row>
    <x:row r="13">
      <x:c r="A13" s="12" t="n">
        <x:v>10</x:v>
      </x:c>
      <x:c r="B13" s="12" t="str">
        <x:v>Khoj</x:v>
      </x:c>
      <x:c r="C13" s="12" t="n">
        <x:v>64</x:v>
      </x:c>
      <x:c r="D13" s="12" t="str">
        <x:v>Second brain / autonomous AI</x:v>
      </x:c>
      <x:c r="E13" s="12" t="str">
        <x:v>Benchmark mémoire</x:v>
      </x:c>
      <x:c r="F13" s="12" t="str">
        <x:v>Sécurité/intégration à valider</x:v>
      </x:c>
      <x:c r="G13" s="12" t="str">
        <x:v>https://github.com/khoj-ai/khoj</x:v>
      </x:c>
    </x:row>
    <x:row r="14">
      <x:c r="A14" s="12" t="n">
        <x:v>11</x:v>
      </x:c>
      <x:c r="B14" s="12" t="str">
        <x:v>Home Assistant</x:v>
      </x:c>
      <x:c r="C14" s="12" t="n">
        <x:v>57.5</x:v>
      </x:c>
      <x:c r="D14" s="12" t="str">
        <x:v>Physical world / IoT</x:v>
      </x:c>
      <x:c r="E14" s="12" t="str">
        <x:v>Tester couche voix/physique</x:v>
      </x:c>
      <x:c r="F14" s="12" t="str">
        <x:v>Sécurité/intégration à valider</x:v>
      </x:c>
      <x:c r="G14" s="12" t="str">
        <x:v>https://github.com/home-assistant/core</x:v>
      </x:c>
    </x:row>
    <x:row r="15">
      <x:c r="A15" s="12" t="n">
        <x:v>12</x:v>
      </x:c>
      <x:c r="B15" s="12" t="str">
        <x:v>n8n</x:v>
      </x:c>
      <x:c r="C15" s="12" t="n">
        <x:v>57.5</x:v>
      </x:c>
      <x:c r="D15" s="12" t="str">
        <x:v>Automation nervous system</x:v>
      </x:c>
      <x:c r="E15" s="12" t="str">
        <x:v>Tester intégration MCP/n8n</x:v>
      </x:c>
      <x:c r="F15" s="12" t="str">
        <x:v>Sécurité/intégration à valider</x:v>
      </x:c>
      <x:c r="G15" s="12" t="str">
        <x:v>https://github.com/n8n-io/n8n</x:v>
      </x:c>
    </x:row>
    <x:row r="16">
      <x:c r="A16" s="12" t="n">
        <x:v>13</x:v>
      </x:c>
      <x:c r="B16" s="12" t="str">
        <x:v>Browser Use</x:v>
      </x:c>
      <x:c r="C16" s="12" t="n">
        <x:v>61.5</x:v>
      </x:c>
      <x:c r="D16" s="12" t="str">
        <x:v>Browser agent / computer use</x:v>
      </x:c>
      <x:c r="E16" s="12" t="str">
        <x:v>Benchmark computer-use</x:v>
      </x:c>
      <x:c r="F16" s="12" t="str">
        <x:v>Sécurité/intégration à valider</x:v>
      </x:c>
      <x:c r="G16" s="12" t="str">
        <x:v>https://github.com/browser-use/browser-use</x:v>
      </x:c>
    </x:row>
    <x:row r="17">
      <x:c r="A17" s="12" t="n">
        <x:v>14</x:v>
      </x:c>
      <x:c r="B17" s="12" t="str">
        <x:v>Graphiti</x:v>
      </x:c>
      <x:c r="C17" s="12" t="n">
        <x:v>42.5</x:v>
      </x:c>
      <x:c r="D17" s="12" t="str">
        <x:v>Temporal graph memory</x:v>
      </x:c>
      <x:c r="E17" s="12" t="str">
        <x:v>Benchmark mémoire</x:v>
      </x:c>
      <x:c r="F17" s="12" t="str">
        <x:v>Sécurité/intégration à valider</x:v>
      </x:c>
      <x:c r="G17" s="12" t="str">
        <x:v>https://github.com/getzep/graphiti</x:v>
      </x:c>
    </x:row>
    <x:row r="18">
      <x:c r="A18" s="12" t="n">
        <x:v>15</x:v>
      </x:c>
      <x:c r="B18" s="12" t="str">
        <x:v>LiveKit Agents</x:v>
      </x:c>
      <x:c r="C18" s="12" t="n">
        <x:v>53.5</x:v>
      </x:c>
      <x:c r="D18" s="12" t="str">
        <x:v>Realtime voice/multimodal agents</x:v>
      </x:c>
      <x:c r="E18" s="12" t="str">
        <x:v>Tester couche voix/physique</x:v>
      </x:c>
      <x:c r="F18" s="12" t="str">
        <x:v>Sécurité/intégration à valider</x:v>
      </x:c>
      <x:c r="G18" s="12" t="str">
        <x:v>https://github.com/livekit/agents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4d6862f700e4f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0" hidden="0" customWidth="1"/>
    <x:col min="4" max="4" width="34" hidden="0" customWidth="1"/>
    <x:col min="5" max="5" width="46" hidden="0" customWidth="1"/>
    <x:col min="6" max="6" width="24" hidden="0" customWidth="1"/>
  </x:cols>
  <x:sheetData>
    <x:row r="1" ht="34" customHeight="1">
      <x:c r="A1" s="23" t="str">
        <x:v>META-JARVIS — architecture recommandée à partir des meilleurs organes</x:v>
      </x:c>
      <x:c r="B1" s="23"/>
      <x:c r="C1" s="23"/>
      <x:c r="D1" s="23"/>
      <x:c r="E1" s="23"/>
      <x:c r="F1" s="23"/>
    </x:row>
    <x:row r="3">
      <x:c r="A3" s="35" t="str">
        <x:v>Layer</x:v>
      </x:c>
      <x:c r="B3" s="35" t="str">
        <x:v>Primary candidate</x:v>
      </x:c>
      <x:c r="C3" s="35" t="str">
        <x:v>Alternatives</x:v>
      </x:c>
      <x:c r="D3" s="35" t="str">
        <x:v>Fonction</x:v>
      </x:c>
      <x:c r="E3" s="35" t="str">
        <x:v>Pourquoi</x:v>
      </x:c>
      <x:c r="F3" s="35" t="str">
        <x:v>Décision v1</x:v>
      </x:c>
    </x:row>
    <x:row r="4">
      <x:c r="A4" s="12" t="str">
        <x:v>Core / identity</x:v>
      </x:c>
      <x:c r="B4" s="12" t="str">
        <x:v>Hermes Agent</x:v>
      </x:c>
      <x:c r="C4" s="12" t="str">
        <x:v>OpenClaw, OpenJarvis</x:v>
      </x:c>
      <x:c r="D4" s="12" t="str">
        <x:v>Raisonnement, identité, apprentissage</x:v>
      </x:c>
      <x:c r="E4" s="12" t="str">
        <x:v>Mémoire procédurale + cron + sous-agents + skills</x:v>
      </x:c>
      <x:c r="F4" s="12" t="str">
        <x:v>POC prioritaire</x:v>
      </x:c>
    </x:row>
    <x:row r="5">
      <x:c r="A5" s="12" t="str">
        <x:v>Personal presence</x:v>
      </x:c>
      <x:c r="B5" s="12" t="str">
        <x:v>OpenClaw</x:v>
      </x:c>
      <x:c r="C5" s="12" t="str">
        <x:v>Moltis, Row-Bot</x:v>
      </x:c>
      <x:c r="D5" s="12" t="str">
        <x:v>Gateway omnicanal</x:v>
      </x:c>
      <x:c r="E5" s="12" t="str">
        <x:v>Présence persistante multi-plateformes</x:v>
      </x:c>
      <x:c r="F5" s="12" t="str">
        <x:v>Auditer licence</x:v>
      </x:c>
    </x:row>
    <x:row r="6">
      <x:c r="A6" s="12" t="str">
        <x:v>Local desktop</x:v>
      </x:c>
      <x:c r="B6" s="12" t="str">
        <x:v>Row-Bot</x:v>
      </x:c>
      <x:c r="C6" s="12" t="str">
        <x:v>Leon, Alice</x:v>
      </x:c>
      <x:c r="D6" s="12" t="str">
        <x:v>Voix + vision + mémoire + action</x:v>
      </x:c>
      <x:c r="E6" s="12" t="str">
        <x:v>Couverture JARVIS locale très complète</x:v>
      </x:c>
      <x:c r="F6" s="12" t="str">
        <x:v>Benchmark immédiat</x:v>
      </x:c>
    </x:row>
    <x:row r="7">
      <x:c r="A7" s="12" t="str">
        <x:v>Long-term memory</x:v>
      </x:c>
      <x:c r="B7" s="12" t="str">
        <x:v>Graphiti + Mem0</x:v>
      </x:c>
      <x:c r="C7" s="12" t="str">
        <x:v>Letta, Cognee, Khoj</x:v>
      </x:c>
      <x:c r="D7" s="12" t="str">
        <x:v>Mémoire temporelle et profil</x:v>
      </x:c>
      <x:c r="E7" s="12" t="str">
        <x:v>Mémoire découplée des modèles</x:v>
      </x:c>
      <x:c r="F7" s="12" t="str">
        <x:v>POC mémoire</x:v>
      </x:c>
    </x:row>
    <x:row r="8">
      <x:c r="A8" s="12" t="str">
        <x:v>Computer use</x:v>
      </x:c>
      <x:c r="B8" s="12" t="str">
        <x:v>Agent Zero + Browser Use</x:v>
      </x:c>
      <x:c r="C8" s="12" t="str">
        <x:v>Open Interpreter, computer-use-mcp</x:v>
      </x:c>
      <x:c r="D8" s="12" t="str">
        <x:v>OS + web</x:v>
      </x:c>
      <x:c r="E8" s="12" t="str">
        <x:v>Environnement complet + navigateur spécialisé</x:v>
      </x:c>
      <x:c r="F8" s="12" t="str">
        <x:v>Sandbox obligatoire</x:v>
      </x:c>
    </x:row>
    <x:row r="9">
      <x:c r="A9" s="12" t="str">
        <x:v>Voice realtime</x:v>
      </x:c>
      <x:c r="B9" s="12" t="str">
        <x:v>LiveKit Agents</x:v>
      </x:c>
      <x:c r="C9" s="12" t="str">
        <x:v>Pipecat</x:v>
      </x:c>
      <x:c r="D9" s="12" t="str">
        <x:v>STT → LLM → TTS</x:v>
      </x:c>
      <x:c r="E9" s="12" t="str">
        <x:v>Faible latence / production</x:v>
      </x:c>
      <x:c r="F9" s="12" t="str">
        <x:v>POC vocal</x:v>
      </x:c>
    </x:row>
    <x:row r="10">
      <x:c r="A10" s="12" t="str">
        <x:v>Wake word</x:v>
      </x:c>
      <x:c r="B10" s="12" t="str">
        <x:v>openWakeWord</x:v>
      </x:c>
      <x:c r="C10" s="12" t="str">
        <x:v>OpenVoiceOS</x:v>
      </x:c>
      <x:c r="D10" s="12" t="str">
        <x:v>Toujours à l'écoute</x:v>
      </x:c>
      <x:c r="E10" s="12" t="str">
        <x:v>Modèle hey-jarvis local</x:v>
      </x:c>
      <x:c r="F10" s="12" t="str">
        <x:v>Edge local</x:v>
      </x:c>
    </x:row>
    <x:row r="11">
      <x:c r="A11" s="12" t="str">
        <x:v>TTS local</x:v>
      </x:c>
      <x:c r="B11" s="12" t="str">
        <x:v>Piper</x:v>
      </x:c>
      <x:c r="C11" s="12" t="str">
        <x:v>OpenVoiceOS engines</x:v>
      </x:c>
      <x:c r="D11" s="12" t="str">
        <x:v>Voix de sortie</x:v>
      </x:c>
      <x:c r="E11" s="12" t="str">
        <x:v>Rapide, local</x:v>
      </x:c>
      <x:c r="F11" s="12" t="str">
        <x:v>Intégrer</x:v>
      </x:c>
    </x:row>
    <x:row r="12">
      <x:c r="A12" s="12" t="str">
        <x:v>STT local</x:v>
      </x:c>
      <x:c r="B12" s="12" t="str">
        <x:v>whisper.cpp</x:v>
      </x:c>
      <x:c r="C12" s="12" t="str">
        <x:v>Whisper backends</x:v>
      </x:c>
      <x:c r="D12" s="12" t="str">
        <x:v>Transcription</x:v>
      </x:c>
      <x:c r="E12" s="12" t="str">
        <x:v>Confidentialité et support hardware</x:v>
      </x:c>
      <x:c r="F12" s="12" t="str">
        <x:v>Intégrer</x:v>
      </x:c>
    </x:row>
    <x:row r="13">
      <x:c r="A13" s="12" t="str">
        <x:v>Automation</x:v>
      </x:c>
      <x:c r="B13" s="12" t="str">
        <x:v>n8n</x:v>
      </x:c>
      <x:c r="C13" s="12" t="str">
        <x:v>Node-RED</x:v>
      </x:c>
      <x:c r="D13" s="12" t="str">
        <x:v>SaaS, workflows, approvals</x:v>
      </x:c>
      <x:c r="E13" s="12" t="str">
        <x:v>Catalogue d'actions observable</x:v>
      </x:c>
      <x:c r="F13" s="12" t="str">
        <x:v>Backbone actions</x:v>
      </x:c>
    </x:row>
    <x:row r="14">
      <x:c r="A14" s="12" t="str">
        <x:v>Physical world</x:v>
      </x:c>
      <x:c r="B14" s="12" t="str">
        <x:v>Home Assistant</x:v>
      </x:c>
      <x:c r="C14" s="12" t="str">
        <x:v>Node-RED + Home LLM</x:v>
      </x:c>
      <x:c r="D14" s="12" t="str">
        <x:v>Maison, capteurs, appareils</x:v>
      </x:c>
      <x:c r="E14" s="12" t="str">
        <x:v>Écosystème IoT local mature</x:v>
      </x:c>
      <x:c r="F14" s="12" t="str">
        <x:v>Backbone physique</x:v>
      </x:c>
    </x:row>
    <x:row r="15">
      <x:c r="A15" s="12" t="str">
        <x:v>Local models</x:v>
      </x:c>
      <x:c r="B15" s="12" t="str">
        <x:v>Ollama + LocalAI</x:v>
      </x:c>
      <x:c r="C15" s="12" t="str">
        <x:v>llama.cpp direct</x:v>
      </x:c>
      <x:c r="D15" s="12" t="str">
        <x:v>LLM/VLM offline</x:v>
      </x:c>
      <x:c r="E15" s="12" t="str">
        <x:v>Découple Jarvis du cloud</x:v>
      </x:c>
      <x:c r="F15" s="12" t="str">
        <x:v>Fallback souverain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d3bf51e4ae54ce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" hidden="0" customWidth="1"/>
    <x:col min="3" max="3" width="22" hidden="0" customWidth="1"/>
    <x:col min="4" max="4" width="25" hidden="0" customWidth="1"/>
    <x:col min="5" max="5" width="27" hidden="0" customWidth="1"/>
    <x:col min="6" max="6" width="40" hidden="0" customWidth="1"/>
  </x:cols>
  <x:sheetData>
    <x:row r="1" ht="30" customHeight="1">
      <x:c r="A1" s="34" t="str">
        <x:v>Méthode de scoring JARVIS / 100</x:v>
      </x:c>
      <x:c r="B1" s="34"/>
      <x:c r="C1" s="34"/>
      <x:c r="D1" s="34"/>
      <x:c r="E1" s="34"/>
      <x:c r="F1" s="34"/>
    </x:row>
    <x:row r="2">
      <x:c r="A2" s="12"/>
      <x:c r="B2" s="12"/>
      <x:c r="C2" s="12"/>
      <x:c r="D2" s="12"/>
      <x:c r="E2" s="12"/>
      <x:c r="F2" s="12"/>
    </x:row>
    <x:row r="3">
      <x:c r="A3" s="35" t="str">
        <x:v>Capability</x:v>
      </x:c>
      <x:c r="B3" s="35" t="str">
        <x:v>Weight</x:v>
      </x:c>
      <x:c r="C3" s="35" t="str">
        <x:v>0</x:v>
      </x:c>
      <x:c r="D3" s="35" t="str">
        <x:v>0.5</x:v>
      </x:c>
      <x:c r="E3" s="35" t="str">
        <x:v>1.0</x:v>
      </x:c>
      <x:c r="F3" s="35" t="str">
        <x:v>Interprétation</x:v>
      </x:c>
    </x:row>
    <x:row r="4">
      <x:c r="A4" s="12" t="str">
        <x:v>Voice</x:v>
      </x:c>
      <x:c r="B4" s="12" t="n">
        <x:v>12</x:v>
      </x:c>
      <x:c r="C4" s="12" t="str">
        <x:v>Absent</x:v>
      </x:c>
      <x:c r="D4" s="12" t="str">
        <x:v>Partiel</x:v>
      </x:c>
      <x:c r="E4" s="12" t="str">
        <x:v>Voix naturelle / temps réel</x:v>
      </x:c>
      <x:c r="F4" s="12" t="str">
        <x:v>Présence conversationnelle</x:v>
      </x:c>
    </x:row>
    <x:row r="5">
      <x:c r="A5" s="12" t="str">
        <x:v>Memory</x:v>
      </x:c>
      <x:c r="B5" s="12" t="n">
        <x:v>14</x:v>
      </x:c>
      <x:c r="C5" s="12" t="str">
        <x:v>Absente</x:v>
      </x:c>
      <x:c r="D5" s="12" t="str">
        <x:v>Session/RAG</x:v>
      </x:c>
      <x:c r="E5" s="12" t="str">
        <x:v>Persistante/personnelle</x:v>
      </x:c>
      <x:c r="F5" s="12" t="str">
        <x:v>Continuité inter-sessions</x:v>
      </x:c>
    </x:row>
    <x:row r="6">
      <x:c r="A6" s="12" t="str">
        <x:v>Tools/MCP</x:v>
      </x:c>
      <x:c r="B6" s="12" t="n">
        <x:v>14</x:v>
      </x:c>
      <x:c r="C6" s="12" t="str">
        <x:v>Chat seul</x:v>
      </x:c>
      <x:c r="D6" s="12" t="str">
        <x:v>Outils limités</x:v>
      </x:c>
      <x:c r="E6" s="12" t="str">
        <x:v>Catalogue extensible</x:v>
      </x:c>
      <x:c r="F6" s="12" t="str">
        <x:v>Capacité à agir</x:v>
      </x:c>
    </x:row>
    <x:row r="7">
      <x:c r="A7" s="12" t="str">
        <x:v>Computer use</x:v>
      </x:c>
      <x:c r="B7" s="12" t="n">
        <x:v>12</x:v>
      </x:c>
      <x:c r="C7" s="12" t="str">
        <x:v>Aucun</x:v>
      </x:c>
      <x:c r="D7" s="12" t="str">
        <x:v>Shell/browser</x:v>
      </x:c>
      <x:c r="E7" s="12" t="str">
        <x:v>GUI/OS/browser réel</x:v>
      </x:c>
      <x:c r="F7" s="12" t="str">
        <x:v>Manipulation du poste</x:v>
      </x:c>
    </x:row>
    <x:row r="8">
      <x:c r="A8" s="12" t="str">
        <x:v>Vision</x:v>
      </x:c>
      <x:c r="B8" s="12" t="n">
        <x:v>8</x:v>
      </x:c>
      <x:c r="C8" s="12" t="str">
        <x:v>Aucune</x:v>
      </x:c>
      <x:c r="D8" s="12" t="str">
        <x:v>Image ponctuelle</x:v>
      </x:c>
      <x:c r="E8" s="12" t="str">
        <x:v>Écran/caméra</x:v>
      </x:c>
      <x:c r="F8" s="12" t="str">
        <x:v>Perception</x:v>
      </x:c>
    </x:row>
    <x:row r="9">
      <x:c r="A9" s="12" t="str">
        <x:v>Autonomy</x:v>
      </x:c>
      <x:c r="B9" s="12" t="n">
        <x:v>12</x:v>
      </x:c>
      <x:c r="C9" s="12" t="str">
        <x:v>Réactif</x:v>
      </x:c>
      <x:c r="D9" s="12" t="str">
        <x:v>Tâches limitées</x:v>
      </x:c>
      <x:c r="E9" s="12" t="str">
        <x:v>Planifié/proactif</x:v>
      </x:c>
      <x:c r="F9" s="12" t="str">
        <x:v>Agit sans micro-management</x:v>
      </x:c>
    </x:row>
    <x:row r="10">
      <x:c r="A10" s="12" t="str">
        <x:v>Multi-agent</x:v>
      </x:c>
      <x:c r="B10" s="12" t="n">
        <x:v>8</x:v>
      </x:c>
      <x:c r="C10" s="12" t="str">
        <x:v>Non</x:v>
      </x:c>
      <x:c r="D10" s="12" t="str">
        <x:v>Délégation limitée</x:v>
      </x:c>
      <x:c r="E10" s="12" t="str">
        <x:v>Sous-agents/équipes</x:v>
      </x:c>
      <x:c r="F10" s="12" t="str">
        <x:v>Parallélisation</x:v>
      </x:c>
    </x:row>
    <x:row r="11">
      <x:c r="A11" s="12" t="str">
        <x:v>Local/privacy</x:v>
      </x:c>
      <x:c r="B11" s="12" t="n">
        <x:v>8</x:v>
      </x:c>
      <x:c r="C11" s="12" t="str">
        <x:v>Cloud requis</x:v>
      </x:c>
      <x:c r="D11" s="12" t="str">
        <x:v>Hybride</x:v>
      </x:c>
      <x:c r="E11" s="12" t="str">
        <x:v>Local/self-hosted</x:v>
      </x:c>
      <x:c r="F11" s="12" t="str">
        <x:v>Souveraineté</x:v>
      </x:c>
    </x:row>
    <x:row r="12">
      <x:c r="A12" s="12" t="str">
        <x:v>IoT/physical</x:v>
      </x:c>
      <x:c r="B12" s="12" t="n">
        <x:v>6</x:v>
      </x:c>
      <x:c r="C12" s="12" t="str">
        <x:v>Aucun</x:v>
      </x:c>
      <x:c r="D12" s="12" t="str">
        <x:v>Pont indirect</x:v>
      </x:c>
      <x:c r="E12" s="12" t="str">
        <x:v>Capteurs/maison/edge</x:v>
      </x:c>
      <x:c r="F12" s="12" t="str">
        <x:v>Monde physique</x:v>
      </x:c>
    </x:row>
    <x:row r="13">
      <x:c r="A13" s="12" t="str">
        <x:v>Extensible</x:v>
      </x:c>
      <x:c r="B13" s="12" t="n">
        <x:v>6</x:v>
      </x:c>
      <x:c r="C13" s="12" t="str">
        <x:v>Fermé</x:v>
      </x:c>
      <x:c r="D13" s="12" t="str">
        <x:v>Plugins limités</x:v>
      </x:c>
      <x:c r="E13" s="12" t="str">
        <x:v>Skills/plugins/MCP/API</x:v>
      </x:c>
      <x:c r="F13" s="12" t="str">
        <x:v>Évolutivité</x:v>
      </x:c>
    </x:row>
    <x:row r="14">
      <x:c r="A14" s="12"/>
      <x:c r="B14" s="12"/>
      <x:c r="C14" s="12"/>
      <x:c r="D14" s="12"/>
      <x:c r="E14" s="12"/>
      <x:c r="F14" s="12"/>
    </x:row>
    <x:row r="15">
      <x:c r="A15" s="35" t="str">
        <x:v>Tier CORE</x:v>
      </x:c>
      <x:c r="B15" s="35" t="str">
        <x:v>Score</x:v>
      </x:c>
      <x:c r="C15" s="35" t="str">
        <x:v>Sens</x:v>
      </x:c>
      <x:c r="D15" s="12"/>
      <x:c r="E15" s="12"/>
      <x:c r="F15" s="12"/>
    </x:row>
    <x:row r="16">
      <x:c r="A16" s="12" t="str">
        <x:v>CORE A+</x:v>
      </x:c>
      <x:c r="B16" s="12" t="str">
        <x:v>≥85</x:v>
      </x:c>
      <x:c r="C16" s="12" t="str">
        <x:v>Quasi-Jarvis</x:v>
      </x:c>
      <x:c r="D16" s="12"/>
      <x:c r="E16" s="12"/>
      <x:c r="F16" s="12"/>
    </x:row>
    <x:row r="17">
      <x:c r="A17" s="12" t="str">
        <x:v>CORE A</x:v>
      </x:c>
      <x:c r="B17" s="12" t="str">
        <x:v>75–84.9</x:v>
      </x:c>
      <x:c r="C17" s="12" t="str">
        <x:v>Cœur très solide</x:v>
      </x:c>
      <x:c r="D17" s="12"/>
      <x:c r="E17" s="12"/>
      <x:c r="F17" s="12"/>
    </x:row>
    <x:row r="18">
      <x:c r="A18" s="12" t="str">
        <x:v>CORE B</x:v>
      </x:c>
      <x:c r="B18" s="12" t="str">
        <x:v>65–74.9</x:v>
      </x:c>
      <x:c r="C18" s="12" t="str">
        <x:v>Base sérieuse à compléter</x:v>
      </x:c>
      <x:c r="D18" s="12"/>
      <x:c r="E18" s="12"/>
      <x:c r="F18" s="12"/>
    </x:row>
    <x:row r="19">
      <x:c r="A19" s="12" t="str">
        <x:v>CORE C</x:v>
      </x:c>
      <x:c r="B19" s="12" t="str">
        <x:v>&lt;65</x:v>
      </x:c>
      <x:c r="C19" s="12" t="str">
        <x:v>Assistant utile mais incomplet</x:v>
      </x:c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36" t="str">
        <x:v>Notes</x:v>
      </x:c>
      <x:c r="B21" s="36" t="str"/>
      <x:c r="C21" s="36" t="str"/>
      <x:c r="D21" s="36" t="str"/>
      <x:c r="E21" s="36" t="str"/>
      <x:c r="F21" s="36" t="str"/>
    </x:row>
    <x:row r="22">
      <x:c r="A22" s="12" t="str">
        <x:v>Les scores sont une évaluation architecturale, pas une métrique publiée.</x:v>
      </x:c>
      <x:c r="B22" s="12" t="str"/>
      <x:c r="C22" s="12" t="str"/>
      <x:c r="D22" s="12" t="str"/>
      <x:c r="E22" s="12" t="str"/>
      <x:c r="F22" s="12" t="str"/>
    </x:row>
    <x:row r="23">
      <x:c r="A23" s="12" t="str">
        <x:v>Les stars ne mesurent ni la qualité ni la proximité avec JARVIS.</x:v>
      </x:c>
      <x:c r="B23" s="12" t="str"/>
      <x:c r="C23" s="12" t="str"/>
      <x:c r="D23" s="12" t="str"/>
      <x:c r="E23" s="12" t="str"/>
      <x:c r="F23" s="12" t="str"/>
    </x:row>
    <x:row r="24">
      <x:c r="A24" s="12" t="str">
        <x:v>N/V = non vérifié au snapshot ; aucune valeur n'est inventée.</x:v>
      </x:c>
      <x:c r="B24" s="12" t="str"/>
      <x:c r="C24" s="12" t="str"/>
      <x:c r="D24" s="12" t="str"/>
      <x:c r="E24" s="12" t="str"/>
      <x:c r="F24" s="12" t="str"/>
    </x:row>
  </x:sheetData>
  <x:mergeCells>
    <x:mergeCell ref="A1:F1"/>
  </x:mergeCells>
  <x:pageMargins left="0.7" right="0.7" top="0.75" bottom="0.75" header="0.3" footer="0.3"/>
</x:worksheet>
</file>